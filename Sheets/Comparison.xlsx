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 GA Result Comparison" sheetId="1" r:id="rId4"/>
    <sheet state="visible" name="2021 Augmented Results Comparis" sheetId="2" r:id="rId5"/>
    <sheet state="visible" name="2023 TENCON Results Comparison" sheetId="3" r:id="rId6"/>
    <sheet state="visible" name="2024 Unity Method Results compa" sheetId="4" r:id="rId7"/>
  </sheets>
  <definedNames/>
  <calcPr/>
</workbook>
</file>

<file path=xl/sharedStrings.xml><?xml version="1.0" encoding="utf-8"?>
<sst xmlns="http://schemas.openxmlformats.org/spreadsheetml/2006/main" count="1645" uniqueCount="241">
  <si>
    <t>S. No.</t>
  </si>
  <si>
    <t>Benchmark Circuit</t>
  </si>
  <si>
    <t>standard_name</t>
  </si>
  <si>
    <t>N (Gates)</t>
  </si>
  <si>
    <t>n (Lines)</t>
  </si>
  <si>
    <t>Fault Models</t>
  </si>
  <si>
    <t>GA Approach</t>
  </si>
  <si>
    <t>Target vectors</t>
  </si>
  <si>
    <t>Target Time</t>
  </si>
  <si>
    <t>Target Coverage</t>
  </si>
  <si>
    <t>Proposed vectors</t>
  </si>
  <si>
    <t>Proposed Time</t>
  </si>
  <si>
    <t>Proposed Coverage</t>
  </si>
  <si>
    <t>0410184_169T</t>
  </si>
  <si>
    <t>0410184_169</t>
  </si>
  <si>
    <t>BF</t>
  </si>
  <si>
    <t>Directed</t>
  </si>
  <si>
    <t>Random</t>
  </si>
  <si>
    <t>PMGF</t>
  </si>
  <si>
    <t>SAF</t>
  </si>
  <si>
    <t>SMGF</t>
  </si>
  <si>
    <t>SMGF, PMGF</t>
  </si>
  <si>
    <t>0.109</t>
  </si>
  <si>
    <t>0.218</t>
  </si>
  <si>
    <t>3_17tcT</t>
  </si>
  <si>
    <t>3_17_13</t>
  </si>
  <si>
    <t>&lt;0.01</t>
  </si>
  <si>
    <t>0.015</t>
  </si>
  <si>
    <t>4gt12−v0_86T</t>
  </si>
  <si>
    <t>4gt12-v0_86</t>
  </si>
  <si>
    <t>4gt12−v086T</t>
  </si>
  <si>
    <t>alu−v0_26T</t>
  </si>
  <si>
    <t>alu-v0_26</t>
  </si>
  <si>
    <t>bw_291T</t>
  </si>
  <si>
    <t>bw_291</t>
  </si>
  <si>
    <t>cnt3−5_180T</t>
  </si>
  <si>
    <t>cnt3-5_180</t>
  </si>
  <si>
    <t>0.657</t>
  </si>
  <si>
    <t>0.719</t>
  </si>
  <si>
    <t>cycle10_2T</t>
  </si>
  <si>
    <t>cycle10_2_110</t>
  </si>
  <si>
    <t>cycle10_293T</t>
  </si>
  <si>
    <t>cycle10_293</t>
  </si>
  <si>
    <t>graycode6T</t>
  </si>
  <si>
    <t>graycode6_47</t>
  </si>
  <si>
    <t>0.031</t>
  </si>
  <si>
    <t>0.093</t>
  </si>
  <si>
    <t>ham15tc1T</t>
  </si>
  <si>
    <t>ham15_107</t>
  </si>
  <si>
    <t>ham15_298T</t>
  </si>
  <si>
    <t>ham15_298</t>
  </si>
  <si>
    <t>ham3tcT</t>
  </si>
  <si>
    <t>ham3_102</t>
  </si>
  <si>
    <t>ham7tcT</t>
  </si>
  <si>
    <t>ham7_104</t>
  </si>
  <si>
    <t>0.343</t>
  </si>
  <si>
    <t>0.187</t>
  </si>
  <si>
    <t>0.062</t>
  </si>
  <si>
    <t>0.328</t>
  </si>
  <si>
    <t>0.078</t>
  </si>
  <si>
    <t>hwb4_51F</t>
  </si>
  <si>
    <t>hwb4_51</t>
  </si>
  <si>
    <t>hwb513T</t>
  </si>
  <si>
    <t>hwb5_300</t>
  </si>
  <si>
    <t>0.578</t>
  </si>
  <si>
    <t>0.563</t>
  </si>
  <si>
    <t>hwb513</t>
  </si>
  <si>
    <t>0.772</t>
  </si>
  <si>
    <t>0.797</t>
  </si>
  <si>
    <t>hwb5_54F</t>
  </si>
  <si>
    <t>hwb5_54</t>
  </si>
  <si>
    <t>hwb6_14F</t>
  </si>
  <si>
    <t>hwb6_301</t>
  </si>
  <si>
    <t>hwb6_57F</t>
  </si>
  <si>
    <t>hwb6_57</t>
  </si>
  <si>
    <t>hwb7_302F</t>
  </si>
  <si>
    <t>hwb7_302</t>
  </si>
  <si>
    <t>hwb7_60F</t>
  </si>
  <si>
    <t>hwb7_60</t>
  </si>
  <si>
    <t>mod5addersT</t>
  </si>
  <si>
    <t>mod5adder_127</t>
  </si>
  <si>
    <t>0.046</t>
  </si>
  <si>
    <t>0.265</t>
  </si>
  <si>
    <t>mod5d1T</t>
  </si>
  <si>
    <t>mod5d1_63</t>
  </si>
  <si>
    <t>0.171</t>
  </si>
  <si>
    <t>mux_246T</t>
  </si>
  <si>
    <t>mux_246</t>
  </si>
  <si>
    <t>gf2∧10mult_109_509T</t>
  </si>
  <si>
    <t>NA</t>
  </si>
  <si>
    <t>4.142</t>
  </si>
  <si>
    <t>cycle17_3T</t>
  </si>
  <si>
    <t>2.531</t>
  </si>
  <si>
    <t>nth_prime7_inc_1427_3172T</t>
  </si>
  <si>
    <t>706.275</t>
  </si>
  <si>
    <t>276.76</t>
  </si>
  <si>
    <t>32.111</t>
  </si>
  <si>
    <t>735.567</t>
  </si>
  <si>
    <t>one−two−three−v0_97T</t>
  </si>
  <si>
    <t>one-two-three-v0_97</t>
  </si>
  <si>
    <t>one−two−three−v097T</t>
  </si>
  <si>
    <t>rd32T</t>
  </si>
  <si>
    <t>rd32-v0_66</t>
  </si>
  <si>
    <t>0.125</t>
  </si>
  <si>
    <t>rd53_131T</t>
  </si>
  <si>
    <t>rd53_131</t>
  </si>
  <si>
    <t>rd84142T</t>
  </si>
  <si>
    <t>rd84_142</t>
  </si>
  <si>
    <t>0.359</t>
  </si>
  <si>
    <t>rd84_313T</t>
  </si>
  <si>
    <t>rd84_313</t>
  </si>
  <si>
    <t>ryy6_256T</t>
  </si>
  <si>
    <t>ryy6_256</t>
  </si>
  <si>
    <t>squar5_261T</t>
  </si>
  <si>
    <t>squar5_261</t>
  </si>
  <si>
    <t>sym6_316T</t>
  </si>
  <si>
    <t>sym6_316</t>
  </si>
  <si>
    <t>sym9_148T</t>
  </si>
  <si>
    <t>sym9_148</t>
  </si>
  <si>
    <t>sym9148T</t>
  </si>
  <si>
    <t>0.525</t>
  </si>
  <si>
    <t>24.456</t>
  </si>
  <si>
    <t>0.29</t>
  </si>
  <si>
    <t>0.297</t>
  </si>
  <si>
    <t>sys6−v0_144T+P</t>
  </si>
  <si>
    <t>sys6-v0_144</t>
  </si>
  <si>
    <t>urf2_277T</t>
  </si>
  <si>
    <t>urf2_277</t>
  </si>
  <si>
    <t>Directed time(s)</t>
  </si>
  <si>
    <t>Random #FC %</t>
  </si>
  <si>
    <t>Random #V</t>
  </si>
  <si>
    <t>Total Faults</t>
  </si>
  <si>
    <t>Directed #FC %</t>
  </si>
  <si>
    <t>Directed #V</t>
  </si>
  <si>
    <t>S NO.</t>
  </si>
  <si>
    <t>CMGF</t>
  </si>
  <si>
    <t>time(s)</t>
  </si>
  <si>
    <t>BenchMark</t>
  </si>
  <si>
    <t>#V</t>
  </si>
  <si>
    <t>Circuit</t>
  </si>
  <si>
    <t>N</t>
  </si>
  <si>
    <t>#FC %</t>
  </si>
  <si>
    <t>n</t>
  </si>
  <si>
    <t>169T</t>
  </si>
  <si>
    <t>4gt12􀀀v0</t>
  </si>
  <si>
    <t>86T</t>
  </si>
  <si>
    <t>&lt;0:01</t>
  </si>
  <si>
    <t>alu􀀀v0</t>
  </si>
  <si>
    <t>26T</t>
  </si>
  <si>
    <t>bw</t>
  </si>
  <si>
    <t>291T</t>
  </si>
  <si>
    <t>cnt3􀀀5</t>
  </si>
  <si>
    <t>180T</t>
  </si>
  <si>
    <t>cycle10</t>
  </si>
  <si>
    <t>293T</t>
  </si>
  <si>
    <t>2T</t>
  </si>
  <si>
    <t>ham15</t>
  </si>
  <si>
    <t>298T</t>
  </si>
  <si>
    <t>hwb4</t>
  </si>
  <si>
    <t>51F</t>
  </si>
  <si>
    <t>hwb5</t>
  </si>
  <si>
    <t>54F</t>
  </si>
  <si>
    <t>hwb6</t>
  </si>
  <si>
    <t>14F</t>
  </si>
  <si>
    <t>57F</t>
  </si>
  <si>
    <t>hwb7</t>
  </si>
  <si>
    <t>302F</t>
  </si>
  <si>
    <t>60F</t>
  </si>
  <si>
    <t>mux</t>
  </si>
  <si>
    <t>246T</t>
  </si>
  <si>
    <t>one􀀀two􀀀three􀀀v0</t>
  </si>
  <si>
    <t>97T</t>
  </si>
  <si>
    <t>rd53</t>
  </si>
  <si>
    <t>131T</t>
  </si>
  <si>
    <t>rd84</t>
  </si>
  <si>
    <t>313T</t>
  </si>
  <si>
    <t>ryy6</t>
  </si>
  <si>
    <t>256T</t>
  </si>
  <si>
    <t>37:8</t>
  </si>
  <si>
    <t>squar5</t>
  </si>
  <si>
    <t>261T</t>
  </si>
  <si>
    <t>sym6</t>
  </si>
  <si>
    <t>316T</t>
  </si>
  <si>
    <t>sym9</t>
  </si>
  <si>
    <t>148T</t>
  </si>
  <si>
    <t>sys6􀀀v0</t>
  </si>
  <si>
    <t>144T+P</t>
  </si>
  <si>
    <t>urf</t>
  </si>
  <si>
    <t>#FC</t>
  </si>
  <si>
    <t>%</t>
  </si>
  <si>
    <t>yTO</t>
  </si>
  <si>
    <t>-</t>
  </si>
  <si>
    <t>No. of Inputs/ Outputs</t>
  </si>
  <si>
    <t>Fault Model</t>
  </si>
  <si>
    <t>No. of Faults SBF+MBF</t>
  </si>
  <si>
    <t>No. of Faults SAF</t>
  </si>
  <si>
    <t xml:space="preserve">Target No. of Test Vectors </t>
  </si>
  <si>
    <t xml:space="preserve">Proposed No. of Test Vectors </t>
  </si>
  <si>
    <t>4 49</t>
  </si>
  <si>
    <t>4_49_17</t>
  </si>
  <si>
    <t>4/4</t>
  </si>
  <si>
    <t>SBF, MBF</t>
  </si>
  <si>
    <t>graycode6</t>
  </si>
  <si>
    <t>6/6</t>
  </si>
  <si>
    <t>15/15</t>
  </si>
  <si>
    <t>SBF, MBF, SAF</t>
  </si>
  <si>
    <t>ham3tc</t>
  </si>
  <si>
    <t>3/3</t>
  </si>
  <si>
    <t>ham7tc</t>
  </si>
  <si>
    <t>7/7</t>
  </si>
  <si>
    <t>rd32</t>
  </si>
  <si>
    <t>6sym</t>
  </si>
  <si>
    <t>9sym</t>
  </si>
  <si>
    <t>Gates N</t>
  </si>
  <si>
    <t>Vars n</t>
  </si>
  <si>
    <t>Total Number of Faults</t>
  </si>
  <si>
    <t>Target Total No. of Test Vectors</t>
  </si>
  <si>
    <t>Proposed Total No. of Test Vectors</t>
  </si>
  <si>
    <t>MGFs</t>
  </si>
  <si>
    <t>MMGF</t>
  </si>
  <si>
    <t>RGF</t>
  </si>
  <si>
    <t>3-17tc</t>
  </si>
  <si>
    <t>SMGF, MMGF, RGF, PMGF</t>
  </si>
  <si>
    <t>4 49d3</t>
  </si>
  <si>
    <t>ham3</t>
  </si>
  <si>
    <t>mod5d1</t>
  </si>
  <si>
    <t>rd32d1</t>
  </si>
  <si>
    <t>Gates n</t>
  </si>
  <si>
    <t>Variables N</t>
  </si>
  <si>
    <t>Total no. of Faults</t>
  </si>
  <si>
    <t>Detected Faults</t>
  </si>
  <si>
    <t>Target Test pattern (TP)</t>
  </si>
  <si>
    <t>Target CPU Time (Sec)</t>
  </si>
  <si>
    <t>Proposed Vectors</t>
  </si>
  <si>
    <t>Proposed  CPU Time (Sec)</t>
  </si>
  <si>
    <t>3 17 3tc</t>
  </si>
  <si>
    <t>SMGF, PMGF, RGF, MMGF</t>
  </si>
  <si>
    <t>hwb5_13</t>
  </si>
  <si>
    <t>hwb5_55</t>
  </si>
  <si>
    <t>mod5adders</t>
  </si>
  <si>
    <t>rd84d1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</si>
</sst>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  <font>
      <color rgb="FFFFFF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35FC1"/>
        <bgColor rgb="FF535FC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10" xfId="0" applyAlignment="1" applyBorder="1" applyFont="1" applyNumberForma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1" fillId="2" fontId="2" numFmtId="10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right" shrinkToFit="0" vertical="center" wrapText="1"/>
    </xf>
    <xf borderId="2" fillId="2" fontId="2" numFmtId="10" xfId="0" applyAlignment="1" applyBorder="1" applyFont="1" applyNumberFormat="1">
      <alignment shrinkToFit="0" vertical="center" wrapText="1"/>
    </xf>
    <xf borderId="1" fillId="3" fontId="2" numFmtId="0" xfId="0" applyAlignment="1" applyBorder="1" applyFill="1" applyFont="1">
      <alignment horizontal="right" shrinkToFit="0" vertical="center" wrapText="1"/>
    </xf>
    <xf borderId="1" fillId="3" fontId="2" numFmtId="10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horizontal="left" shrinkToFit="0" vertical="center" wrapText="0"/>
    </xf>
    <xf borderId="3" fillId="3" fontId="2" numFmtId="0" xfId="0" applyAlignment="1" applyBorder="1" applyFont="1">
      <alignment horizontal="right" shrinkToFit="0" vertical="center" wrapText="1"/>
    </xf>
    <xf borderId="3" fillId="3" fontId="2" numFmtId="10" xfId="0" applyAlignment="1" applyBorder="1" applyFont="1" applyNumberFormat="1">
      <alignment shrinkToFit="0" vertical="center" wrapText="1"/>
    </xf>
    <xf borderId="1" fillId="0" fontId="1" numFmtId="49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0" xfId="0" applyAlignment="1" applyBorder="1" applyFont="1" applyNumberForma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1" numFmtId="10" xfId="0" applyAlignment="1" applyFont="1" applyNumberFormat="1">
      <alignment shrinkToFit="0" vertical="center" wrapText="0"/>
    </xf>
    <xf borderId="1" fillId="3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0" fontId="1" numFmtId="10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1" fillId="3" fontId="2" numFmtId="10" xfId="0" applyAlignment="1" applyBorder="1" applyFont="1" applyNumberFormat="1">
      <alignment readingOrder="0" shrinkToFit="0" vertical="center" wrapText="1"/>
    </xf>
    <xf borderId="1" fillId="0" fontId="1" numFmtId="10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20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1"/>
    </xf>
    <xf borderId="1" fillId="2" fontId="2" numFmtId="49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164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0" fontId="1" numFmtId="10" xfId="0" applyAlignment="1" applyBorder="1" applyFont="1" applyNumberFormat="1">
      <alignment horizontal="left" shrinkToFit="0" vertical="center" wrapText="1"/>
    </xf>
    <xf borderId="1" fillId="2" fontId="2" numFmtId="10" xfId="0" applyAlignment="1" applyBorder="1" applyFont="1" applyNumberForma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10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8">
    <tableStyle count="4" pivot="0" name="2018 GA Result Comparis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18 GA Result Comparison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2018 GA Result Comparison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2018 GA Result Comparis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18 GA Result Comparis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1 Augmented Results Compari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2023 TENCON Results Comparis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4 Unity Method Results compa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68" displayName="GA_Comparison" name="GA_Comparison" id="1">
  <tableColumns count="13">
    <tableColumn name="S. No." id="1"/>
    <tableColumn name="Benchmark Circuit" id="2"/>
    <tableColumn name="standard_name" id="3"/>
    <tableColumn name="N (Gates)" id="4"/>
    <tableColumn name="n (Lines)" id="5"/>
    <tableColumn name="Fault Models" id="6"/>
    <tableColumn name="GA Approach" id="7"/>
    <tableColumn name="Target vectors" id="8"/>
    <tableColumn name="Target Time" id="9"/>
    <tableColumn name="Target Coverage" id="10"/>
    <tableColumn name="Proposed vectors" id="11"/>
    <tableColumn name="Proposed Time" id="12"/>
    <tableColumn name="Proposed Coverage" id="13"/>
  </tableColumns>
  <tableStyleInfo name="2018 GA Result Comparison-style" showColumnStripes="0" showFirstColumn="1" showLastColumn="1" showRowStripes="1"/>
</table>
</file>

<file path=xl/tables/table2.xml><?xml version="1.0" encoding="utf-8"?>
<table xmlns="http://schemas.openxmlformats.org/spreadsheetml/2006/main" ref="A1102:J1127" displayName="SAF" name="SAF" id="2">
  <tableColumns count="10">
    <tableColumn name="standard_name" id="1"/>
    <tableColumn name="Benchmark Circuit" id="2"/>
    <tableColumn name="Directed time(s)" id="3"/>
    <tableColumn name="N (Gates)" id="4"/>
    <tableColumn name="n (Lines)" id="5"/>
    <tableColumn name="Random #FC %" id="6"/>
    <tableColumn name="Random #V" id="7"/>
    <tableColumn name="Total Faults" id="8"/>
    <tableColumn name="Directed #FC %" id="9"/>
    <tableColumn name="Directed #V" id="10"/>
  </tableColumns>
  <tableStyleInfo name="2018 GA Result Comparison-style 2" showColumnStripes="0" showFirstColumn="1" showLastColumn="1" showRowStripes="1"/>
</table>
</file>

<file path=xl/tables/table3.xml><?xml version="1.0" encoding="utf-8"?>
<table xmlns="http://schemas.openxmlformats.org/spreadsheetml/2006/main" ref="A1132:K1157" displayName="BF" name="BF" id="3">
  <tableColumns count="11">
    <tableColumn name="standard_name" id="1"/>
    <tableColumn name="Benchmark Circuit" id="2"/>
    <tableColumn name="Directed time(s)" id="3"/>
    <tableColumn name="N (Gates)" id="4"/>
    <tableColumn name="n (Lines)" id="5"/>
    <tableColumn name="Random #FC %" id="6"/>
    <tableColumn name="Random #V" id="7"/>
    <tableColumn name="Total Faults" id="8"/>
    <tableColumn name="Directed #FC %" id="9"/>
    <tableColumn name="Directed #V" id="10"/>
    <tableColumn name="S NO." id="11"/>
  </tableColumns>
  <tableStyleInfo name="2018 GA Result Comparis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171:R1196" displayName="Table4" name="Table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2018 GA Result Compariso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201:W1226" displayName="Table5" name="Table5" id="5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2018 GA Result Compariso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I11" displayName="Augmented_Circuit_Comparison" name="Augmented_Circuit_Comparison" id="6">
  <tableColumns count="9">
    <tableColumn name="Benchmark Circuit" id="1"/>
    <tableColumn name="standard_name" id="2"/>
    <tableColumn name="No. of Inputs/ Outputs" id="3"/>
    <tableColumn name="Fault Model" id="4"/>
    <tableColumn name="No. of Faults SBF+MBF" id="5"/>
    <tableColumn name="No. of Faults SAF" id="6"/>
    <tableColumn name="Total Faults" id="7"/>
    <tableColumn name="Target No. of Test Vectors " id="8"/>
    <tableColumn name="Proposed No. of Test Vectors " id="9"/>
  </tableColumns>
  <tableStyleInfo name="2021 Augmented Results Comparis-style" showColumnStripes="0" showFirstColumn="1" showLastColumn="1" showRowStripes="1"/>
</table>
</file>

<file path=xl/tables/table7.xml><?xml version="1.0" encoding="utf-8"?>
<table xmlns="http://schemas.openxmlformats.org/spreadsheetml/2006/main" ref="A1:H31" displayName="TENCON_Comparison" name="TENCON_Comparison" id="7">
  <tableColumns count="8">
    <tableColumn name="Benchmark Circuit" id="1"/>
    <tableColumn name="standard_name" id="2"/>
    <tableColumn name="Gates N" id="3"/>
    <tableColumn name="Vars n" id="4"/>
    <tableColumn name="Fault Model" id="5"/>
    <tableColumn name="Total Number of Faults" id="6"/>
    <tableColumn name="Target Total No. of Test Vectors" id="7"/>
    <tableColumn name="Proposed Total No. of Test Vectors" id="8"/>
  </tableColumns>
  <tableStyleInfo name="2023 TENCON Results Comparison-style" showColumnStripes="0" showFirstColumn="1" showLastColumn="1" showRowStripes="1"/>
</table>
</file>

<file path=xl/tables/table8.xml><?xml version="1.0" encoding="utf-8"?>
<table xmlns="http://schemas.openxmlformats.org/spreadsheetml/2006/main" ref="A1:M13" displayName="Unity_Method_Comparison" name="Unity_Method_Comparison" id="8">
  <tableColumns count="13">
    <tableColumn name="Benchmark Circuit" id="1"/>
    <tableColumn name="standard_name" id="2"/>
    <tableColumn name="Gates n" id="3"/>
    <tableColumn name="Variables N" id="4"/>
    <tableColumn name="Fault Model" id="5"/>
    <tableColumn name="Total no. of Faults" id="6"/>
    <tableColumn name="Detected Faults" id="7"/>
    <tableColumn name="Target Coverage" id="8"/>
    <tableColumn name="Target Test pattern (TP)" id="9"/>
    <tableColumn name="Target CPU Time (Sec)" id="10"/>
    <tableColumn name="Proposed Coverage" id="11"/>
    <tableColumn name="Proposed Vectors" id="12"/>
    <tableColumn name="Proposed  CPU Time (Sec)" id="13"/>
  </tableColumns>
  <tableStyleInfo name="2024 Unity Method Results com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38"/>
    <col customWidth="1" min="2" max="2" width="7.88"/>
    <col customWidth="1" min="3" max="3" width="12.25"/>
    <col customWidth="1" min="4" max="4" width="11.25"/>
    <col customWidth="1" min="5" max="5" width="10.63"/>
    <col customWidth="1" min="6" max="6" width="9.38"/>
    <col customWidth="1" min="7" max="7" width="13.38"/>
    <col customWidth="1" min="8" max="8" width="8.13"/>
    <col customWidth="1" min="9" max="9" width="9.5"/>
    <col customWidth="1" min="10" max="10" width="9.25"/>
    <col customWidth="1" min="11" max="13" width="10.5"/>
    <col customWidth="1" min="14" max="14" width="9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>
        <v>219.0</v>
      </c>
      <c r="B2" s="6" t="s">
        <v>13</v>
      </c>
      <c r="C2" s="6" t="s">
        <v>14</v>
      </c>
      <c r="D2" s="7">
        <v>46.0</v>
      </c>
      <c r="E2" s="7">
        <v>14.0</v>
      </c>
      <c r="F2" s="5" t="s">
        <v>15</v>
      </c>
      <c r="G2" s="5" t="s">
        <v>16</v>
      </c>
      <c r="H2" s="7">
        <v>4.0</v>
      </c>
      <c r="I2" s="8">
        <v>0.109</v>
      </c>
      <c r="J2" s="9">
        <v>1.0</v>
      </c>
      <c r="K2" s="10">
        <v>3.0</v>
      </c>
      <c r="L2" s="10">
        <v>3.31</v>
      </c>
      <c r="M2" s="11">
        <v>1.0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2.5" customHeight="1">
      <c r="A3" s="5">
        <v>244.0</v>
      </c>
      <c r="B3" s="6" t="s">
        <v>13</v>
      </c>
      <c r="C3" s="6" t="s">
        <v>14</v>
      </c>
      <c r="D3" s="7">
        <v>46.0</v>
      </c>
      <c r="E3" s="7">
        <v>14.0</v>
      </c>
      <c r="F3" s="5" t="s">
        <v>15</v>
      </c>
      <c r="G3" s="5" t="s">
        <v>17</v>
      </c>
      <c r="H3" s="12">
        <v>9.0</v>
      </c>
      <c r="I3" s="13">
        <v>0.218</v>
      </c>
      <c r="J3" s="9">
        <v>1.0</v>
      </c>
      <c r="K3" s="14">
        <v>3.0</v>
      </c>
      <c r="L3" s="14">
        <v>30.63</v>
      </c>
      <c r="M3" s="15">
        <v>1.0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2.5" customHeight="1">
      <c r="A4" s="5">
        <v>69.0</v>
      </c>
      <c r="B4" s="13" t="s">
        <v>13</v>
      </c>
      <c r="C4" s="6" t="s">
        <v>14</v>
      </c>
      <c r="D4" s="12">
        <v>46.0</v>
      </c>
      <c r="E4" s="12">
        <v>14.0</v>
      </c>
      <c r="F4" s="5" t="s">
        <v>18</v>
      </c>
      <c r="G4" s="5" t="s">
        <v>16</v>
      </c>
      <c r="H4" s="12">
        <v>4.0</v>
      </c>
      <c r="I4" s="13">
        <v>0.078</v>
      </c>
      <c r="J4" s="9">
        <v>1.0</v>
      </c>
      <c r="K4" s="16">
        <v>6.0</v>
      </c>
      <c r="L4" s="16">
        <v>0.98</v>
      </c>
      <c r="M4" s="17">
        <v>1.0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2.5" customHeight="1">
      <c r="A5" s="5">
        <v>94.0</v>
      </c>
      <c r="B5" s="13" t="s">
        <v>13</v>
      </c>
      <c r="C5" s="6" t="s">
        <v>14</v>
      </c>
      <c r="D5" s="12">
        <v>46.0</v>
      </c>
      <c r="E5" s="12">
        <v>14.0</v>
      </c>
      <c r="F5" s="5" t="s">
        <v>18</v>
      </c>
      <c r="G5" s="5" t="s">
        <v>17</v>
      </c>
      <c r="H5" s="7">
        <v>3.0</v>
      </c>
      <c r="I5" s="18">
        <v>0.062</v>
      </c>
      <c r="J5" s="9">
        <v>1.0</v>
      </c>
      <c r="K5" s="19">
        <v>6.0</v>
      </c>
      <c r="L5" s="19">
        <v>7.97</v>
      </c>
      <c r="M5" s="20">
        <v>1.0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2.5" customHeight="1">
      <c r="A6" s="5">
        <v>169.0</v>
      </c>
      <c r="B6" s="6" t="s">
        <v>13</v>
      </c>
      <c r="C6" s="6" t="s">
        <v>14</v>
      </c>
      <c r="D6" s="7">
        <v>46.0</v>
      </c>
      <c r="E6" s="7">
        <v>14.0</v>
      </c>
      <c r="F6" s="5" t="s">
        <v>19</v>
      </c>
      <c r="G6" s="5" t="s">
        <v>16</v>
      </c>
      <c r="H6" s="7">
        <v>4.0</v>
      </c>
      <c r="I6" s="8">
        <v>0.109</v>
      </c>
      <c r="J6" s="9">
        <v>1.0</v>
      </c>
      <c r="K6" s="10">
        <v>7.0</v>
      </c>
      <c r="L6" s="10">
        <v>21.87</v>
      </c>
      <c r="M6" s="11">
        <v>1.0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2.5" customHeight="1">
      <c r="A7" s="5">
        <v>194.0</v>
      </c>
      <c r="B7" s="6" t="s">
        <v>13</v>
      </c>
      <c r="C7" s="6" t="s">
        <v>14</v>
      </c>
      <c r="D7" s="7">
        <v>46.0</v>
      </c>
      <c r="E7" s="7">
        <v>14.0</v>
      </c>
      <c r="F7" s="5" t="s">
        <v>19</v>
      </c>
      <c r="G7" s="5" t="s">
        <v>17</v>
      </c>
      <c r="H7" s="12">
        <v>9.0</v>
      </c>
      <c r="I7" s="13">
        <v>0.218</v>
      </c>
      <c r="J7" s="9">
        <v>1.0</v>
      </c>
      <c r="K7" s="14">
        <v>5.0</v>
      </c>
      <c r="L7" s="14">
        <v>316.51</v>
      </c>
      <c r="M7" s="15">
        <v>1.0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2.5" customHeight="1">
      <c r="A8" s="5">
        <v>119.0</v>
      </c>
      <c r="B8" s="6" t="s">
        <v>13</v>
      </c>
      <c r="C8" s="6" t="s">
        <v>14</v>
      </c>
      <c r="D8" s="7">
        <v>46.0</v>
      </c>
      <c r="E8" s="7">
        <v>14.0</v>
      </c>
      <c r="F8" s="5" t="s">
        <v>20</v>
      </c>
      <c r="G8" s="5" t="s">
        <v>16</v>
      </c>
      <c r="H8" s="7">
        <v>4.0</v>
      </c>
      <c r="I8" s="8">
        <v>0.109</v>
      </c>
      <c r="J8" s="9">
        <v>1.0</v>
      </c>
      <c r="K8" s="16">
        <v>2.0</v>
      </c>
      <c r="L8" s="16">
        <v>1.14</v>
      </c>
      <c r="M8" s="17">
        <v>1.0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2.5" customHeight="1">
      <c r="A9" s="5">
        <v>144.0</v>
      </c>
      <c r="B9" s="6" t="s">
        <v>13</v>
      </c>
      <c r="C9" s="6" t="s">
        <v>14</v>
      </c>
      <c r="D9" s="7">
        <v>46.0</v>
      </c>
      <c r="E9" s="7">
        <v>14.0</v>
      </c>
      <c r="F9" s="5" t="s">
        <v>20</v>
      </c>
      <c r="G9" s="5" t="s">
        <v>17</v>
      </c>
      <c r="H9" s="7">
        <v>9.0</v>
      </c>
      <c r="I9" s="8">
        <v>0.218</v>
      </c>
      <c r="J9" s="9">
        <v>1.0</v>
      </c>
      <c r="K9" s="19">
        <v>4.0</v>
      </c>
      <c r="L9" s="19">
        <v>30.06</v>
      </c>
      <c r="M9" s="20">
        <v>1.0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2.5" customHeight="1">
      <c r="A10" s="5">
        <v>60.0</v>
      </c>
      <c r="B10" s="13" t="s">
        <v>13</v>
      </c>
      <c r="C10" s="13" t="s">
        <v>14</v>
      </c>
      <c r="D10" s="12">
        <v>46.0</v>
      </c>
      <c r="E10" s="12">
        <v>14.0</v>
      </c>
      <c r="F10" s="5" t="s">
        <v>21</v>
      </c>
      <c r="G10" s="5" t="s">
        <v>16</v>
      </c>
      <c r="H10" s="12">
        <v>4.0</v>
      </c>
      <c r="I10" s="21" t="s">
        <v>22</v>
      </c>
      <c r="J10" s="9">
        <v>1.0</v>
      </c>
      <c r="K10" s="22"/>
      <c r="L10" s="22"/>
      <c r="M10" s="2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2.5" customHeight="1">
      <c r="A11" s="5">
        <v>66.0</v>
      </c>
      <c r="B11" s="13" t="s">
        <v>13</v>
      </c>
      <c r="C11" s="13" t="s">
        <v>14</v>
      </c>
      <c r="D11" s="12">
        <v>46.0</v>
      </c>
      <c r="E11" s="12">
        <v>14.0</v>
      </c>
      <c r="F11" s="5" t="s">
        <v>21</v>
      </c>
      <c r="G11" s="5" t="s">
        <v>17</v>
      </c>
      <c r="H11" s="12">
        <v>9.0</v>
      </c>
      <c r="I11" s="21" t="s">
        <v>23</v>
      </c>
      <c r="J11" s="9">
        <v>1.0</v>
      </c>
      <c r="K11" s="22"/>
      <c r="L11" s="22"/>
      <c r="M11" s="2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2.5" customHeight="1">
      <c r="A12" s="5">
        <v>21.0</v>
      </c>
      <c r="B12" s="13" t="s">
        <v>24</v>
      </c>
      <c r="C12" s="13" t="s">
        <v>25</v>
      </c>
      <c r="D12" s="12">
        <v>6.0</v>
      </c>
      <c r="E12" s="12">
        <v>3.0</v>
      </c>
      <c r="F12" s="5" t="s">
        <v>18</v>
      </c>
      <c r="G12" s="5" t="s">
        <v>16</v>
      </c>
      <c r="H12" s="12">
        <v>2.0</v>
      </c>
      <c r="I12" s="13" t="s">
        <v>26</v>
      </c>
      <c r="J12" s="9">
        <v>1.0</v>
      </c>
      <c r="K12" s="16">
        <v>3.0</v>
      </c>
      <c r="L12" s="16">
        <v>0.03</v>
      </c>
      <c r="M12" s="17">
        <v>1.0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2.5" customHeight="1">
      <c r="A13" s="5">
        <v>31.0</v>
      </c>
      <c r="B13" s="13" t="s">
        <v>24</v>
      </c>
      <c r="C13" s="13" t="s">
        <v>25</v>
      </c>
      <c r="D13" s="12">
        <v>6.0</v>
      </c>
      <c r="E13" s="12">
        <v>3.0</v>
      </c>
      <c r="F13" s="5" t="s">
        <v>18</v>
      </c>
      <c r="G13" s="5" t="s">
        <v>17</v>
      </c>
      <c r="H13" s="12">
        <v>2.0</v>
      </c>
      <c r="I13" s="21" t="s">
        <v>27</v>
      </c>
      <c r="J13" s="9">
        <v>1.0</v>
      </c>
      <c r="K13" s="16">
        <v>3.0</v>
      </c>
      <c r="L13" s="16">
        <v>0.11</v>
      </c>
      <c r="M13" s="17">
        <v>1.0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2.5" customHeight="1">
      <c r="A14" s="5">
        <v>1.0</v>
      </c>
      <c r="B14" s="13" t="s">
        <v>25</v>
      </c>
      <c r="C14" s="13" t="s">
        <v>25</v>
      </c>
      <c r="D14" s="12">
        <v>6.0</v>
      </c>
      <c r="E14" s="12">
        <v>3.0</v>
      </c>
      <c r="F14" s="5" t="s">
        <v>20</v>
      </c>
      <c r="G14" s="5" t="s">
        <v>16</v>
      </c>
      <c r="H14" s="12">
        <v>2.0</v>
      </c>
      <c r="I14" s="13" t="s">
        <v>26</v>
      </c>
      <c r="J14" s="9">
        <v>1.0</v>
      </c>
      <c r="K14" s="16">
        <v>2.0</v>
      </c>
      <c r="L14" s="16">
        <v>0.04</v>
      </c>
      <c r="M14" s="17">
        <v>1.0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2.5" customHeight="1">
      <c r="A15" s="5">
        <v>11.0</v>
      </c>
      <c r="B15" s="13" t="s">
        <v>25</v>
      </c>
      <c r="C15" s="13" t="s">
        <v>25</v>
      </c>
      <c r="D15" s="12">
        <v>6.0</v>
      </c>
      <c r="E15" s="12">
        <v>3.0</v>
      </c>
      <c r="F15" s="5" t="s">
        <v>20</v>
      </c>
      <c r="G15" s="5" t="s">
        <v>17</v>
      </c>
      <c r="H15" s="12">
        <v>2.0</v>
      </c>
      <c r="I15" s="21" t="s">
        <v>27</v>
      </c>
      <c r="J15" s="9">
        <v>1.0</v>
      </c>
      <c r="K15" s="16">
        <v>2.0</v>
      </c>
      <c r="L15" s="16">
        <v>0.09</v>
      </c>
      <c r="M15" s="17">
        <v>1.0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2.5" customHeight="1">
      <c r="A16" s="5">
        <v>220.0</v>
      </c>
      <c r="B16" s="24" t="s">
        <v>28</v>
      </c>
      <c r="C16" s="24" t="s">
        <v>29</v>
      </c>
      <c r="D16" s="25">
        <v>14.0</v>
      </c>
      <c r="E16" s="25">
        <v>5.0</v>
      </c>
      <c r="F16" s="5" t="s">
        <v>15</v>
      </c>
      <c r="G16" s="5" t="s">
        <v>16</v>
      </c>
      <c r="H16" s="25">
        <v>3.0</v>
      </c>
      <c r="I16" s="26">
        <v>0.015</v>
      </c>
      <c r="J16" s="9">
        <v>1.0</v>
      </c>
      <c r="K16" s="10">
        <v>1.0</v>
      </c>
      <c r="L16" s="10">
        <v>0.38</v>
      </c>
      <c r="M16" s="11">
        <v>1.0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2.5" customHeight="1">
      <c r="A17" s="5">
        <v>245.0</v>
      </c>
      <c r="B17" s="24" t="s">
        <v>28</v>
      </c>
      <c r="C17" s="24" t="s">
        <v>29</v>
      </c>
      <c r="D17" s="25">
        <v>14.0</v>
      </c>
      <c r="E17" s="25">
        <v>5.0</v>
      </c>
      <c r="F17" s="5" t="s">
        <v>15</v>
      </c>
      <c r="G17" s="5" t="s">
        <v>17</v>
      </c>
      <c r="H17" s="12">
        <v>3.0</v>
      </c>
      <c r="I17" s="13">
        <v>0.015</v>
      </c>
      <c r="J17" s="9">
        <v>1.0</v>
      </c>
      <c r="K17" s="10">
        <v>2.0</v>
      </c>
      <c r="L17" s="10">
        <v>0.06</v>
      </c>
      <c r="M17" s="11">
        <v>1.0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2.5" customHeight="1">
      <c r="A18" s="5">
        <v>22.0</v>
      </c>
      <c r="B18" s="13" t="s">
        <v>30</v>
      </c>
      <c r="C18" s="13" t="s">
        <v>29</v>
      </c>
      <c r="D18" s="12">
        <v>14.0</v>
      </c>
      <c r="E18" s="12">
        <v>5.0</v>
      </c>
      <c r="F18" s="5" t="s">
        <v>18</v>
      </c>
      <c r="G18" s="5" t="s">
        <v>16</v>
      </c>
      <c r="H18" s="12">
        <v>2.0</v>
      </c>
      <c r="I18" s="13" t="s">
        <v>26</v>
      </c>
      <c r="J18" s="9">
        <v>1.0</v>
      </c>
      <c r="K18" s="16">
        <v>5.0</v>
      </c>
      <c r="L18" s="16">
        <v>0.68</v>
      </c>
      <c r="M18" s="17">
        <v>1.0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2.5" customHeight="1">
      <c r="A19" s="5">
        <v>32.0</v>
      </c>
      <c r="B19" s="13" t="s">
        <v>30</v>
      </c>
      <c r="C19" s="13" t="s">
        <v>29</v>
      </c>
      <c r="D19" s="12">
        <v>14.0</v>
      </c>
      <c r="E19" s="12">
        <v>5.0</v>
      </c>
      <c r="F19" s="5" t="s">
        <v>18</v>
      </c>
      <c r="G19" s="5" t="s">
        <v>17</v>
      </c>
      <c r="H19" s="12">
        <v>2.0</v>
      </c>
      <c r="I19" s="21" t="s">
        <v>27</v>
      </c>
      <c r="J19" s="9">
        <v>1.0</v>
      </c>
      <c r="K19" s="16">
        <v>6.0</v>
      </c>
      <c r="L19" s="16">
        <v>0.98</v>
      </c>
      <c r="M19" s="17">
        <v>1.0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2.5" customHeight="1">
      <c r="A20" s="5">
        <v>70.0</v>
      </c>
      <c r="B20" s="13" t="s">
        <v>28</v>
      </c>
      <c r="C20" s="24" t="s">
        <v>29</v>
      </c>
      <c r="D20" s="12">
        <v>14.0</v>
      </c>
      <c r="E20" s="12">
        <v>5.0</v>
      </c>
      <c r="F20" s="5" t="s">
        <v>18</v>
      </c>
      <c r="G20" s="5" t="s">
        <v>16</v>
      </c>
      <c r="H20" s="12">
        <v>3.0</v>
      </c>
      <c r="I20" s="13">
        <v>0.015</v>
      </c>
      <c r="J20" s="9">
        <v>1.0</v>
      </c>
      <c r="M20" s="27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2.5" customHeight="1">
      <c r="A21" s="5">
        <v>170.0</v>
      </c>
      <c r="B21" s="24" t="s">
        <v>28</v>
      </c>
      <c r="C21" s="24" t="s">
        <v>29</v>
      </c>
      <c r="D21" s="25">
        <v>14.0</v>
      </c>
      <c r="E21" s="25">
        <v>5.0</v>
      </c>
      <c r="F21" s="5" t="s">
        <v>19</v>
      </c>
      <c r="G21" s="5" t="s">
        <v>16</v>
      </c>
      <c r="H21" s="25">
        <v>3.0</v>
      </c>
      <c r="I21" s="26">
        <v>0.015</v>
      </c>
      <c r="J21" s="9">
        <v>1.0</v>
      </c>
      <c r="K21" s="10">
        <v>3.0</v>
      </c>
      <c r="L21" s="10">
        <v>0.59</v>
      </c>
      <c r="M21" s="11">
        <v>1.0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2.5" customHeight="1">
      <c r="A22" s="5">
        <v>195.0</v>
      </c>
      <c r="B22" s="24" t="s">
        <v>28</v>
      </c>
      <c r="C22" s="24" t="s">
        <v>29</v>
      </c>
      <c r="D22" s="25">
        <v>14.0</v>
      </c>
      <c r="E22" s="25">
        <v>5.0</v>
      </c>
      <c r="F22" s="5" t="s">
        <v>19</v>
      </c>
      <c r="G22" s="5" t="s">
        <v>17</v>
      </c>
      <c r="H22" s="12">
        <v>3.0</v>
      </c>
      <c r="I22" s="13">
        <v>0.015</v>
      </c>
      <c r="J22" s="9">
        <v>1.0</v>
      </c>
      <c r="K22" s="16">
        <v>2.0</v>
      </c>
      <c r="L22" s="16">
        <v>0.22</v>
      </c>
      <c r="M22" s="17">
        <v>1.0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2.5" customHeight="1">
      <c r="A23" s="5">
        <v>120.0</v>
      </c>
      <c r="B23" s="24" t="s">
        <v>28</v>
      </c>
      <c r="C23" s="24" t="s">
        <v>29</v>
      </c>
      <c r="D23" s="25">
        <v>14.0</v>
      </c>
      <c r="E23" s="25">
        <v>5.0</v>
      </c>
      <c r="F23" s="5" t="s">
        <v>20</v>
      </c>
      <c r="G23" s="5" t="s">
        <v>16</v>
      </c>
      <c r="H23" s="25">
        <v>3.0</v>
      </c>
      <c r="I23" s="26">
        <v>0.015</v>
      </c>
      <c r="J23" s="9">
        <v>1.0</v>
      </c>
      <c r="K23" s="28"/>
      <c r="L23" s="28"/>
      <c r="M23" s="1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2.5" customHeight="1">
      <c r="A24" s="5">
        <v>145.0</v>
      </c>
      <c r="B24" s="24" t="s">
        <v>28</v>
      </c>
      <c r="C24" s="24" t="s">
        <v>29</v>
      </c>
      <c r="D24" s="25">
        <v>14.0</v>
      </c>
      <c r="E24" s="25">
        <v>5.0</v>
      </c>
      <c r="F24" s="5" t="s">
        <v>20</v>
      </c>
      <c r="G24" s="5" t="s">
        <v>17</v>
      </c>
      <c r="H24" s="25">
        <v>3.0</v>
      </c>
      <c r="I24" s="26">
        <v>0.015</v>
      </c>
      <c r="J24" s="9">
        <v>1.0</v>
      </c>
      <c r="K24" s="16">
        <v>2.0</v>
      </c>
      <c r="L24" s="16">
        <v>0.23</v>
      </c>
      <c r="M24" s="17">
        <v>1.0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2.5" customHeight="1">
      <c r="A25" s="5">
        <v>221.0</v>
      </c>
      <c r="B25" s="6" t="s">
        <v>31</v>
      </c>
      <c r="C25" s="6" t="s">
        <v>32</v>
      </c>
      <c r="D25" s="7">
        <v>6.0</v>
      </c>
      <c r="E25" s="7">
        <v>5.0</v>
      </c>
      <c r="F25" s="5" t="s">
        <v>15</v>
      </c>
      <c r="G25" s="5" t="s">
        <v>16</v>
      </c>
      <c r="H25" s="7">
        <v>2.0</v>
      </c>
      <c r="I25" s="8">
        <v>0.015</v>
      </c>
      <c r="J25" s="9">
        <v>1.0</v>
      </c>
      <c r="K25" s="10">
        <v>2.0</v>
      </c>
      <c r="L25" s="10">
        <v>0.09</v>
      </c>
      <c r="M25" s="11">
        <v>1.0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2.5" customHeight="1">
      <c r="A26" s="5">
        <v>246.0</v>
      </c>
      <c r="B26" s="6" t="s">
        <v>31</v>
      </c>
      <c r="C26" s="6" t="s">
        <v>32</v>
      </c>
      <c r="D26" s="7">
        <v>6.0</v>
      </c>
      <c r="E26" s="7">
        <v>5.0</v>
      </c>
      <c r="F26" s="5" t="s">
        <v>15</v>
      </c>
      <c r="G26" s="5" t="s">
        <v>17</v>
      </c>
      <c r="H26" s="12">
        <v>2.0</v>
      </c>
      <c r="I26" s="13" t="s">
        <v>26</v>
      </c>
      <c r="J26" s="9">
        <v>1.0</v>
      </c>
      <c r="K26" s="10">
        <v>2.0</v>
      </c>
      <c r="L26" s="10">
        <v>0.05</v>
      </c>
      <c r="M26" s="11">
        <v>1.0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2.5" customHeight="1">
      <c r="A27" s="5">
        <v>71.0</v>
      </c>
      <c r="B27" s="13" t="s">
        <v>31</v>
      </c>
      <c r="C27" s="6" t="s">
        <v>32</v>
      </c>
      <c r="D27" s="12">
        <v>6.0</v>
      </c>
      <c r="E27" s="12">
        <v>5.0</v>
      </c>
      <c r="F27" s="5" t="s">
        <v>18</v>
      </c>
      <c r="G27" s="5" t="s">
        <v>16</v>
      </c>
      <c r="H27" s="12">
        <v>2.0</v>
      </c>
      <c r="I27" s="13">
        <v>0.015</v>
      </c>
      <c r="J27" s="9">
        <v>1.0</v>
      </c>
      <c r="K27" s="16">
        <v>3.0</v>
      </c>
      <c r="L27" s="16">
        <v>0.19</v>
      </c>
      <c r="M27" s="17">
        <v>1.0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2.5" customHeight="1">
      <c r="A28" s="5">
        <v>96.0</v>
      </c>
      <c r="B28" s="13" t="s">
        <v>31</v>
      </c>
      <c r="C28" s="6" t="s">
        <v>32</v>
      </c>
      <c r="D28" s="12">
        <v>6.0</v>
      </c>
      <c r="E28" s="12">
        <v>5.0</v>
      </c>
      <c r="F28" s="5" t="s">
        <v>18</v>
      </c>
      <c r="G28" s="5" t="s">
        <v>17</v>
      </c>
      <c r="H28" s="7">
        <v>2.0</v>
      </c>
      <c r="I28" s="18" t="s">
        <v>26</v>
      </c>
      <c r="J28" s="9">
        <v>1.0</v>
      </c>
      <c r="K28" s="16">
        <v>3.0</v>
      </c>
      <c r="L28" s="16">
        <v>0.3</v>
      </c>
      <c r="M28" s="17">
        <v>1.0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2.5" customHeight="1">
      <c r="A29" s="5">
        <v>171.0</v>
      </c>
      <c r="B29" s="6" t="s">
        <v>31</v>
      </c>
      <c r="C29" s="6" t="s">
        <v>32</v>
      </c>
      <c r="D29" s="7">
        <v>6.0</v>
      </c>
      <c r="E29" s="7">
        <v>5.0</v>
      </c>
      <c r="F29" s="5" t="s">
        <v>19</v>
      </c>
      <c r="G29" s="5" t="s">
        <v>16</v>
      </c>
      <c r="H29" s="7">
        <v>2.0</v>
      </c>
      <c r="I29" s="8">
        <v>0.015</v>
      </c>
      <c r="J29" s="9">
        <v>1.0</v>
      </c>
      <c r="K29" s="10">
        <v>4.0</v>
      </c>
      <c r="L29" s="10">
        <v>0.33</v>
      </c>
      <c r="M29" s="11">
        <v>1.0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2.5" customHeight="1">
      <c r="A30" s="5">
        <v>196.0</v>
      </c>
      <c r="B30" s="6" t="s">
        <v>31</v>
      </c>
      <c r="C30" s="6" t="s">
        <v>32</v>
      </c>
      <c r="D30" s="7">
        <v>6.0</v>
      </c>
      <c r="E30" s="7">
        <v>5.0</v>
      </c>
      <c r="F30" s="5" t="s">
        <v>19</v>
      </c>
      <c r="G30" s="5" t="s">
        <v>17</v>
      </c>
      <c r="H30" s="12">
        <v>2.0</v>
      </c>
      <c r="I30" s="13" t="s">
        <v>26</v>
      </c>
      <c r="J30" s="9">
        <v>1.0</v>
      </c>
      <c r="K30" s="10">
        <v>3.0</v>
      </c>
      <c r="L30" s="10">
        <v>6.85</v>
      </c>
      <c r="M30" s="11">
        <v>1.0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2.5" customHeight="1">
      <c r="A31" s="5">
        <v>121.0</v>
      </c>
      <c r="B31" s="6" t="s">
        <v>31</v>
      </c>
      <c r="C31" s="6" t="s">
        <v>32</v>
      </c>
      <c r="D31" s="7">
        <v>6.0</v>
      </c>
      <c r="E31" s="7">
        <v>5.0</v>
      </c>
      <c r="F31" s="5" t="s">
        <v>20</v>
      </c>
      <c r="G31" s="5" t="s">
        <v>16</v>
      </c>
      <c r="H31" s="7">
        <v>2.0</v>
      </c>
      <c r="I31" s="8">
        <v>0.015</v>
      </c>
      <c r="J31" s="9">
        <v>1.0</v>
      </c>
      <c r="K31" s="16">
        <v>3.0</v>
      </c>
      <c r="L31" s="16">
        <v>0.07</v>
      </c>
      <c r="M31" s="17">
        <v>1.0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2.5" customHeight="1">
      <c r="A32" s="5">
        <v>146.0</v>
      </c>
      <c r="B32" s="6" t="s">
        <v>31</v>
      </c>
      <c r="C32" s="6" t="s">
        <v>32</v>
      </c>
      <c r="D32" s="7">
        <v>6.0</v>
      </c>
      <c r="E32" s="7">
        <v>5.0</v>
      </c>
      <c r="F32" s="5" t="s">
        <v>20</v>
      </c>
      <c r="G32" s="5" t="s">
        <v>17</v>
      </c>
      <c r="H32" s="7">
        <v>2.0</v>
      </c>
      <c r="I32" s="8" t="s">
        <v>26</v>
      </c>
      <c r="J32" s="9">
        <v>1.0</v>
      </c>
      <c r="K32" s="16">
        <v>2.0</v>
      </c>
      <c r="L32" s="16">
        <v>0.13</v>
      </c>
      <c r="M32" s="17">
        <v>1.0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2.5" customHeight="1">
      <c r="A33" s="5">
        <v>222.0</v>
      </c>
      <c r="B33" s="24" t="s">
        <v>33</v>
      </c>
      <c r="C33" s="24" t="s">
        <v>34</v>
      </c>
      <c r="D33" s="25">
        <v>307.0</v>
      </c>
      <c r="E33" s="25">
        <v>87.0</v>
      </c>
      <c r="F33" s="5" t="s">
        <v>15</v>
      </c>
      <c r="G33" s="5" t="s">
        <v>16</v>
      </c>
      <c r="H33" s="25">
        <v>4.0</v>
      </c>
      <c r="I33" s="26">
        <v>9.593</v>
      </c>
      <c r="J33" s="9">
        <v>1.0</v>
      </c>
      <c r="K33" s="10">
        <v>12.0</v>
      </c>
      <c r="L33" s="10">
        <v>3007.64</v>
      </c>
      <c r="M33" s="11">
        <v>1.0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2.5" customHeight="1">
      <c r="A34" s="5">
        <v>247.0</v>
      </c>
      <c r="B34" s="24" t="s">
        <v>33</v>
      </c>
      <c r="C34" s="24" t="s">
        <v>34</v>
      </c>
      <c r="D34" s="25">
        <v>307.0</v>
      </c>
      <c r="E34" s="25">
        <v>87.0</v>
      </c>
      <c r="F34" s="5" t="s">
        <v>15</v>
      </c>
      <c r="G34" s="5" t="s">
        <v>17</v>
      </c>
      <c r="H34" s="12">
        <v>5.0</v>
      </c>
      <c r="I34" s="13">
        <v>16.406</v>
      </c>
      <c r="J34" s="9">
        <v>1.0</v>
      </c>
      <c r="K34" s="29"/>
      <c r="L34" s="29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2.5" customHeight="1">
      <c r="A35" s="5">
        <v>72.0</v>
      </c>
      <c r="B35" s="13" t="s">
        <v>33</v>
      </c>
      <c r="C35" s="24" t="s">
        <v>34</v>
      </c>
      <c r="D35" s="12">
        <v>307.0</v>
      </c>
      <c r="E35" s="12">
        <v>87.0</v>
      </c>
      <c r="F35" s="5" t="s">
        <v>18</v>
      </c>
      <c r="G35" s="5" t="s">
        <v>16</v>
      </c>
      <c r="H35" s="12">
        <v>4.0</v>
      </c>
      <c r="I35" s="13">
        <v>9.593</v>
      </c>
      <c r="J35" s="30">
        <v>1.0</v>
      </c>
      <c r="K35" s="16">
        <v>15.0</v>
      </c>
      <c r="L35" s="16">
        <v>266.45</v>
      </c>
      <c r="M35" s="17">
        <v>1.0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2.5" customHeight="1">
      <c r="A36" s="5">
        <v>97.0</v>
      </c>
      <c r="B36" s="13" t="s">
        <v>33</v>
      </c>
      <c r="C36" s="24" t="s">
        <v>34</v>
      </c>
      <c r="D36" s="12">
        <v>307.0</v>
      </c>
      <c r="E36" s="12">
        <v>87.0</v>
      </c>
      <c r="F36" s="5" t="s">
        <v>18</v>
      </c>
      <c r="G36" s="5" t="s">
        <v>17</v>
      </c>
      <c r="H36" s="25">
        <v>5.0</v>
      </c>
      <c r="I36" s="18">
        <v>16.406</v>
      </c>
      <c r="J36" s="30">
        <v>1.0</v>
      </c>
      <c r="K36" s="31"/>
      <c r="L36" s="31"/>
      <c r="M36" s="3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2.5" customHeight="1">
      <c r="A37" s="5">
        <v>172.0</v>
      </c>
      <c r="B37" s="24" t="s">
        <v>33</v>
      </c>
      <c r="C37" s="24" t="s">
        <v>34</v>
      </c>
      <c r="D37" s="25">
        <v>307.0</v>
      </c>
      <c r="E37" s="25">
        <v>87.0</v>
      </c>
      <c r="F37" s="5" t="s">
        <v>19</v>
      </c>
      <c r="G37" s="5" t="s">
        <v>16</v>
      </c>
      <c r="H37" s="25">
        <v>4.0</v>
      </c>
      <c r="I37" s="26">
        <v>9.593</v>
      </c>
      <c r="J37" s="33">
        <v>1.0</v>
      </c>
      <c r="K37" s="28"/>
      <c r="L37" s="28"/>
      <c r="M37" s="1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2.5" customHeight="1">
      <c r="A38" s="5">
        <v>197.0</v>
      </c>
      <c r="B38" s="24" t="s">
        <v>33</v>
      </c>
      <c r="C38" s="24" t="s">
        <v>34</v>
      </c>
      <c r="D38" s="25">
        <v>307.0</v>
      </c>
      <c r="E38" s="25">
        <v>87.0</v>
      </c>
      <c r="F38" s="5" t="s">
        <v>19</v>
      </c>
      <c r="G38" s="5" t="s">
        <v>17</v>
      </c>
      <c r="H38" s="12">
        <v>5.0</v>
      </c>
      <c r="I38" s="13">
        <v>16.406</v>
      </c>
      <c r="J38" s="9">
        <v>1.0</v>
      </c>
      <c r="K38" s="29"/>
      <c r="L38" s="29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2.5" customHeight="1">
      <c r="A39" s="5">
        <v>122.0</v>
      </c>
      <c r="B39" s="24" t="s">
        <v>33</v>
      </c>
      <c r="C39" s="24" t="s">
        <v>34</v>
      </c>
      <c r="D39" s="25">
        <v>307.0</v>
      </c>
      <c r="E39" s="25">
        <v>87.0</v>
      </c>
      <c r="F39" s="5" t="s">
        <v>20</v>
      </c>
      <c r="G39" s="5" t="s">
        <v>16</v>
      </c>
      <c r="H39" s="25">
        <v>4.0</v>
      </c>
      <c r="I39" s="26">
        <v>9.593</v>
      </c>
      <c r="J39" s="33">
        <v>1.0</v>
      </c>
      <c r="K39" s="10">
        <v>11.0</v>
      </c>
      <c r="L39" s="10">
        <v>158.9</v>
      </c>
      <c r="M39" s="11">
        <v>1.0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2.5" customHeight="1">
      <c r="A40" s="5">
        <v>147.0</v>
      </c>
      <c r="B40" s="24" t="s">
        <v>33</v>
      </c>
      <c r="C40" s="24" t="s">
        <v>34</v>
      </c>
      <c r="D40" s="25">
        <v>307.0</v>
      </c>
      <c r="E40" s="25">
        <v>87.0</v>
      </c>
      <c r="F40" s="5" t="s">
        <v>20</v>
      </c>
      <c r="G40" s="5" t="s">
        <v>17</v>
      </c>
      <c r="H40" s="25">
        <v>6.0</v>
      </c>
      <c r="I40" s="26">
        <v>17.64</v>
      </c>
      <c r="J40" s="33">
        <v>1.0</v>
      </c>
      <c r="K40" s="10">
        <v>1.0</v>
      </c>
      <c r="L40" s="10">
        <v>49.17</v>
      </c>
      <c r="M40" s="11">
        <v>1.0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2.5" customHeight="1">
      <c r="A41" s="5">
        <v>223.0</v>
      </c>
      <c r="B41" s="6" t="s">
        <v>35</v>
      </c>
      <c r="C41" s="6" t="s">
        <v>36</v>
      </c>
      <c r="D41" s="7">
        <v>20.0</v>
      </c>
      <c r="E41" s="7">
        <v>16.0</v>
      </c>
      <c r="F41" s="5" t="s">
        <v>15</v>
      </c>
      <c r="G41" s="5" t="s">
        <v>16</v>
      </c>
      <c r="H41" s="7">
        <v>1.0</v>
      </c>
      <c r="I41" s="8">
        <v>0.657</v>
      </c>
      <c r="J41" s="9">
        <v>1.0</v>
      </c>
      <c r="K41" s="16">
        <v>4.0</v>
      </c>
      <c r="L41" s="16">
        <v>4.67</v>
      </c>
      <c r="M41" s="17">
        <v>1.0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2.5" customHeight="1">
      <c r="A42" s="5">
        <v>248.0</v>
      </c>
      <c r="B42" s="6" t="s">
        <v>35</v>
      </c>
      <c r="C42" s="6" t="s">
        <v>36</v>
      </c>
      <c r="D42" s="7">
        <v>20.0</v>
      </c>
      <c r="E42" s="7">
        <v>16.0</v>
      </c>
      <c r="F42" s="5" t="s">
        <v>15</v>
      </c>
      <c r="G42" s="5" t="s">
        <v>17</v>
      </c>
      <c r="H42" s="12">
        <v>2.0</v>
      </c>
      <c r="I42" s="13">
        <v>0.719</v>
      </c>
      <c r="J42" s="9">
        <v>1.0</v>
      </c>
      <c r="K42" s="16">
        <v>4.0</v>
      </c>
      <c r="L42" s="16">
        <v>21.01</v>
      </c>
      <c r="M42" s="17">
        <v>1.0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2.5" customHeight="1">
      <c r="A43" s="5">
        <v>73.0</v>
      </c>
      <c r="B43" s="13" t="s">
        <v>35</v>
      </c>
      <c r="C43" s="6" t="s">
        <v>36</v>
      </c>
      <c r="D43" s="12">
        <v>20.0</v>
      </c>
      <c r="E43" s="12">
        <v>16.0</v>
      </c>
      <c r="F43" s="5" t="s">
        <v>18</v>
      </c>
      <c r="G43" s="5" t="s">
        <v>16</v>
      </c>
      <c r="H43" s="12">
        <v>2.0</v>
      </c>
      <c r="I43" s="13">
        <v>0.078</v>
      </c>
      <c r="J43" s="30">
        <v>1.0</v>
      </c>
      <c r="K43" s="10">
        <v>11.0</v>
      </c>
      <c r="L43" s="10">
        <v>1.97</v>
      </c>
      <c r="M43" s="11">
        <v>1.0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2.5" customHeight="1">
      <c r="A44" s="5">
        <v>98.0</v>
      </c>
      <c r="B44" s="13" t="s">
        <v>35</v>
      </c>
      <c r="C44" s="6" t="s">
        <v>36</v>
      </c>
      <c r="D44" s="12">
        <v>20.0</v>
      </c>
      <c r="E44" s="12">
        <v>16.0</v>
      </c>
      <c r="F44" s="5" t="s">
        <v>18</v>
      </c>
      <c r="G44" s="5" t="s">
        <v>17</v>
      </c>
      <c r="H44" s="7">
        <v>2.0</v>
      </c>
      <c r="I44" s="18">
        <v>0.453</v>
      </c>
      <c r="J44" s="30">
        <v>1.0</v>
      </c>
      <c r="K44" s="10">
        <v>11.0</v>
      </c>
      <c r="L44" s="10">
        <v>18.66</v>
      </c>
      <c r="M44" s="11">
        <v>1.0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2.5" customHeight="1">
      <c r="A45" s="5">
        <v>173.0</v>
      </c>
      <c r="B45" s="6" t="s">
        <v>35</v>
      </c>
      <c r="C45" s="6" t="s">
        <v>36</v>
      </c>
      <c r="D45" s="7">
        <v>20.0</v>
      </c>
      <c r="E45" s="7">
        <v>16.0</v>
      </c>
      <c r="F45" s="5" t="s">
        <v>19</v>
      </c>
      <c r="G45" s="5" t="s">
        <v>16</v>
      </c>
      <c r="H45" s="7">
        <v>1.0</v>
      </c>
      <c r="I45" s="8">
        <v>0.657</v>
      </c>
      <c r="J45" s="9">
        <v>1.0</v>
      </c>
      <c r="K45" s="16">
        <v>5.0</v>
      </c>
      <c r="L45" s="16">
        <v>11.96</v>
      </c>
      <c r="M45" s="17">
        <v>1.0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2.5" customHeight="1">
      <c r="A46" s="5">
        <v>198.0</v>
      </c>
      <c r="B46" s="6" t="s">
        <v>35</v>
      </c>
      <c r="C46" s="6" t="s">
        <v>36</v>
      </c>
      <c r="D46" s="7">
        <v>20.0</v>
      </c>
      <c r="E46" s="7">
        <v>16.0</v>
      </c>
      <c r="F46" s="5" t="s">
        <v>19</v>
      </c>
      <c r="G46" s="5" t="s">
        <v>17</v>
      </c>
      <c r="H46" s="12">
        <v>2.0</v>
      </c>
      <c r="I46" s="13">
        <v>0.719</v>
      </c>
      <c r="J46" s="9">
        <v>1.0</v>
      </c>
      <c r="K46" s="16">
        <v>5.0</v>
      </c>
      <c r="L46" s="16">
        <v>508.1</v>
      </c>
      <c r="M46" s="17">
        <v>1.0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2.5" customHeight="1">
      <c r="A47" s="5">
        <v>123.0</v>
      </c>
      <c r="B47" s="6" t="s">
        <v>35</v>
      </c>
      <c r="C47" s="6" t="s">
        <v>36</v>
      </c>
      <c r="D47" s="7">
        <v>20.0</v>
      </c>
      <c r="E47" s="7">
        <v>16.0</v>
      </c>
      <c r="F47" s="5" t="s">
        <v>20</v>
      </c>
      <c r="G47" s="5" t="s">
        <v>16</v>
      </c>
      <c r="H47" s="7">
        <v>1.0</v>
      </c>
      <c r="I47" s="8">
        <v>0.657</v>
      </c>
      <c r="J47" s="9">
        <v>1.0</v>
      </c>
      <c r="K47" s="10">
        <v>5.0</v>
      </c>
      <c r="L47" s="10">
        <v>1.11</v>
      </c>
      <c r="M47" s="11">
        <v>1.0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2.5" customHeight="1">
      <c r="A48" s="5">
        <v>148.0</v>
      </c>
      <c r="B48" s="6" t="s">
        <v>35</v>
      </c>
      <c r="C48" s="6" t="s">
        <v>36</v>
      </c>
      <c r="D48" s="7">
        <v>20.0</v>
      </c>
      <c r="E48" s="7">
        <v>16.0</v>
      </c>
      <c r="F48" s="5" t="s">
        <v>20</v>
      </c>
      <c r="G48" s="5" t="s">
        <v>17</v>
      </c>
      <c r="H48" s="7">
        <v>2.0</v>
      </c>
      <c r="I48" s="8">
        <v>0.719</v>
      </c>
      <c r="J48" s="9">
        <v>1.0</v>
      </c>
      <c r="K48" s="10">
        <v>5.0</v>
      </c>
      <c r="L48" s="10">
        <v>0.5</v>
      </c>
      <c r="M48" s="11">
        <v>1.0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2.5" customHeight="1">
      <c r="A49" s="5">
        <v>59.0</v>
      </c>
      <c r="B49" s="13" t="s">
        <v>35</v>
      </c>
      <c r="C49" s="13" t="s">
        <v>36</v>
      </c>
      <c r="D49" s="12">
        <v>20.0</v>
      </c>
      <c r="E49" s="12">
        <v>16.0</v>
      </c>
      <c r="F49" s="5" t="s">
        <v>21</v>
      </c>
      <c r="G49" s="5" t="s">
        <v>16</v>
      </c>
      <c r="H49" s="12">
        <v>1.0</v>
      </c>
      <c r="I49" s="21" t="s">
        <v>37</v>
      </c>
      <c r="J49" s="34">
        <v>1.0</v>
      </c>
      <c r="K49" s="22"/>
      <c r="L49" s="22"/>
      <c r="M49" s="2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2.5" customHeight="1">
      <c r="A50" s="5">
        <v>65.0</v>
      </c>
      <c r="B50" s="13" t="s">
        <v>35</v>
      </c>
      <c r="C50" s="13" t="s">
        <v>36</v>
      </c>
      <c r="D50" s="12">
        <v>20.0</v>
      </c>
      <c r="E50" s="12">
        <v>16.0</v>
      </c>
      <c r="F50" s="5" t="s">
        <v>21</v>
      </c>
      <c r="G50" s="5" t="s">
        <v>17</v>
      </c>
      <c r="H50" s="12">
        <v>2.0</v>
      </c>
      <c r="I50" s="21" t="s">
        <v>38</v>
      </c>
      <c r="J50" s="34">
        <v>1.0</v>
      </c>
      <c r="K50" s="22"/>
      <c r="L50" s="22"/>
      <c r="M50" s="2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2.5" customHeight="1">
      <c r="A51" s="5">
        <v>225.0</v>
      </c>
      <c r="B51" s="6" t="s">
        <v>39</v>
      </c>
      <c r="C51" s="6" t="s">
        <v>40</v>
      </c>
      <c r="D51" s="7">
        <v>19.0</v>
      </c>
      <c r="E51" s="7">
        <v>12.0</v>
      </c>
      <c r="F51" s="5" t="s">
        <v>15</v>
      </c>
      <c r="G51" s="5" t="s">
        <v>16</v>
      </c>
      <c r="H51" s="7">
        <v>2.0</v>
      </c>
      <c r="I51" s="8">
        <v>0.062</v>
      </c>
      <c r="J51" s="9">
        <v>1.0</v>
      </c>
      <c r="K51" s="16">
        <v>6.0</v>
      </c>
      <c r="L51" s="16">
        <v>4.28</v>
      </c>
      <c r="M51" s="17">
        <v>1.0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2.5" customHeight="1">
      <c r="A52" s="5">
        <v>250.0</v>
      </c>
      <c r="B52" s="6" t="s">
        <v>39</v>
      </c>
      <c r="C52" s="6" t="s">
        <v>40</v>
      </c>
      <c r="D52" s="7">
        <v>19.0</v>
      </c>
      <c r="E52" s="7">
        <v>12.0</v>
      </c>
      <c r="F52" s="5" t="s">
        <v>15</v>
      </c>
      <c r="G52" s="5" t="s">
        <v>17</v>
      </c>
      <c r="H52" s="12">
        <v>2.0</v>
      </c>
      <c r="I52" s="13">
        <v>0.07</v>
      </c>
      <c r="J52" s="9">
        <v>1.0</v>
      </c>
      <c r="K52" s="16">
        <v>5.0</v>
      </c>
      <c r="L52" s="16">
        <v>7.47</v>
      </c>
      <c r="M52" s="17">
        <v>1.0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2.5" customHeight="1">
      <c r="A53" s="5">
        <v>75.0</v>
      </c>
      <c r="B53" s="13" t="s">
        <v>39</v>
      </c>
      <c r="C53" s="6" t="s">
        <v>40</v>
      </c>
      <c r="D53" s="12">
        <v>19.0</v>
      </c>
      <c r="E53" s="12">
        <v>12.0</v>
      </c>
      <c r="F53" s="5" t="s">
        <v>18</v>
      </c>
      <c r="G53" s="5" t="s">
        <v>16</v>
      </c>
      <c r="H53" s="12">
        <v>2.0</v>
      </c>
      <c r="I53" s="13">
        <v>0.062</v>
      </c>
      <c r="J53" s="30">
        <v>1.0</v>
      </c>
      <c r="K53" s="10">
        <v>9.0</v>
      </c>
      <c r="L53" s="10">
        <v>44.74</v>
      </c>
      <c r="M53" s="11">
        <v>0.4082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2.5" customHeight="1">
      <c r="A54" s="5">
        <v>100.0</v>
      </c>
      <c r="B54" s="13" t="s">
        <v>39</v>
      </c>
      <c r="C54" s="6" t="s">
        <v>40</v>
      </c>
      <c r="D54" s="12">
        <v>19.0</v>
      </c>
      <c r="E54" s="12">
        <v>12.0</v>
      </c>
      <c r="F54" s="5" t="s">
        <v>18</v>
      </c>
      <c r="G54" s="5" t="s">
        <v>17</v>
      </c>
      <c r="H54" s="7">
        <v>2.0</v>
      </c>
      <c r="I54" s="18">
        <v>0.07</v>
      </c>
      <c r="J54" s="30">
        <v>1.0</v>
      </c>
      <c r="K54" s="10">
        <v>22.0</v>
      </c>
      <c r="L54" s="10">
        <v>435.88</v>
      </c>
      <c r="M54" s="11">
        <v>0.5714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2.5" customHeight="1">
      <c r="A55" s="5">
        <v>175.0</v>
      </c>
      <c r="B55" s="6" t="s">
        <v>39</v>
      </c>
      <c r="C55" s="6" t="s">
        <v>40</v>
      </c>
      <c r="D55" s="7">
        <v>19.0</v>
      </c>
      <c r="E55" s="7">
        <v>12.0</v>
      </c>
      <c r="F55" s="5" t="s">
        <v>19</v>
      </c>
      <c r="G55" s="5" t="s">
        <v>16</v>
      </c>
      <c r="H55" s="7">
        <v>2.0</v>
      </c>
      <c r="I55" s="8">
        <v>0.062</v>
      </c>
      <c r="J55" s="9">
        <v>1.0</v>
      </c>
      <c r="K55" s="16">
        <v>3.0</v>
      </c>
      <c r="L55" s="16">
        <v>6.76</v>
      </c>
      <c r="M55" s="17">
        <v>1.0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2.5" customHeight="1">
      <c r="A56" s="5">
        <v>200.0</v>
      </c>
      <c r="B56" s="6" t="s">
        <v>39</v>
      </c>
      <c r="C56" s="6" t="s">
        <v>40</v>
      </c>
      <c r="D56" s="7">
        <v>19.0</v>
      </c>
      <c r="E56" s="7">
        <v>12.0</v>
      </c>
      <c r="F56" s="5" t="s">
        <v>19</v>
      </c>
      <c r="G56" s="5" t="s">
        <v>17</v>
      </c>
      <c r="H56" s="12">
        <v>2.0</v>
      </c>
      <c r="I56" s="13">
        <v>0.07</v>
      </c>
      <c r="J56" s="9">
        <v>1.0</v>
      </c>
      <c r="K56" s="16">
        <v>3.0</v>
      </c>
      <c r="L56" s="16">
        <v>261.71</v>
      </c>
      <c r="M56" s="17">
        <v>1.0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2.5" customHeight="1">
      <c r="A57" s="5">
        <v>125.0</v>
      </c>
      <c r="B57" s="6" t="s">
        <v>39</v>
      </c>
      <c r="C57" s="6" t="s">
        <v>40</v>
      </c>
      <c r="D57" s="7">
        <v>19.0</v>
      </c>
      <c r="E57" s="7">
        <v>12.0</v>
      </c>
      <c r="F57" s="5" t="s">
        <v>20</v>
      </c>
      <c r="G57" s="5" t="s">
        <v>16</v>
      </c>
      <c r="H57" s="7">
        <v>2.0</v>
      </c>
      <c r="I57" s="8">
        <v>0.062</v>
      </c>
      <c r="J57" s="9">
        <v>1.0</v>
      </c>
      <c r="K57" s="10">
        <v>3.0</v>
      </c>
      <c r="L57" s="10">
        <v>0.6</v>
      </c>
      <c r="M57" s="11">
        <v>1.0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2.5" customHeight="1">
      <c r="A58" s="5">
        <v>150.0</v>
      </c>
      <c r="B58" s="6" t="s">
        <v>39</v>
      </c>
      <c r="C58" s="6" t="s">
        <v>40</v>
      </c>
      <c r="D58" s="7">
        <v>19.0</v>
      </c>
      <c r="E58" s="7">
        <v>12.0</v>
      </c>
      <c r="F58" s="5" t="s">
        <v>20</v>
      </c>
      <c r="G58" s="5" t="s">
        <v>17</v>
      </c>
      <c r="H58" s="7">
        <v>2.0</v>
      </c>
      <c r="I58" s="8">
        <v>0.07</v>
      </c>
      <c r="J58" s="9">
        <v>1.0</v>
      </c>
      <c r="K58" s="10">
        <v>2.0</v>
      </c>
      <c r="L58" s="10">
        <v>2.95</v>
      </c>
      <c r="M58" s="11">
        <v>1.0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2.5" customHeight="1">
      <c r="A59" s="5">
        <v>224.0</v>
      </c>
      <c r="B59" s="24" t="s">
        <v>41</v>
      </c>
      <c r="C59" s="24" t="s">
        <v>42</v>
      </c>
      <c r="D59" s="25">
        <v>78.0</v>
      </c>
      <c r="E59" s="25">
        <v>39.0</v>
      </c>
      <c r="F59" s="5" t="s">
        <v>15</v>
      </c>
      <c r="G59" s="5" t="s">
        <v>16</v>
      </c>
      <c r="H59" s="25">
        <v>2.0</v>
      </c>
      <c r="I59" s="26">
        <v>0.828</v>
      </c>
      <c r="J59" s="9">
        <v>1.0</v>
      </c>
      <c r="K59" s="16">
        <v>9.0</v>
      </c>
      <c r="L59" s="16">
        <v>157.25</v>
      </c>
      <c r="M59" s="17">
        <v>1.0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2.5" customHeight="1">
      <c r="A60" s="5">
        <v>249.0</v>
      </c>
      <c r="B60" s="24" t="s">
        <v>41</v>
      </c>
      <c r="C60" s="24" t="s">
        <v>42</v>
      </c>
      <c r="D60" s="25">
        <v>78.0</v>
      </c>
      <c r="E60" s="25">
        <v>39.0</v>
      </c>
      <c r="F60" s="5" t="s">
        <v>15</v>
      </c>
      <c r="G60" s="5" t="s">
        <v>17</v>
      </c>
      <c r="H60" s="12">
        <v>3.0</v>
      </c>
      <c r="I60" s="13">
        <v>1.203</v>
      </c>
      <c r="J60" s="9">
        <v>1.0</v>
      </c>
      <c r="K60" s="16">
        <v>6.0</v>
      </c>
      <c r="L60" s="16">
        <v>463.61</v>
      </c>
      <c r="M60" s="17">
        <v>1.0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2.5" customHeight="1">
      <c r="A61" s="5">
        <v>74.0</v>
      </c>
      <c r="B61" s="13" t="s">
        <v>41</v>
      </c>
      <c r="C61" s="24" t="s">
        <v>42</v>
      </c>
      <c r="D61" s="12">
        <v>78.0</v>
      </c>
      <c r="E61" s="12">
        <v>39.0</v>
      </c>
      <c r="F61" s="5" t="s">
        <v>18</v>
      </c>
      <c r="G61" s="5" t="s">
        <v>16</v>
      </c>
      <c r="H61" s="12">
        <v>2.0</v>
      </c>
      <c r="I61" s="13">
        <v>0.828</v>
      </c>
      <c r="J61" s="30">
        <v>1.0</v>
      </c>
      <c r="K61" s="10">
        <v>12.0</v>
      </c>
      <c r="L61" s="10">
        <v>7.54</v>
      </c>
      <c r="M61" s="11">
        <v>1.0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2.5" customHeight="1">
      <c r="A62" s="5">
        <v>99.0</v>
      </c>
      <c r="B62" s="13" t="s">
        <v>41</v>
      </c>
      <c r="C62" s="24" t="s">
        <v>42</v>
      </c>
      <c r="D62" s="12">
        <v>78.0</v>
      </c>
      <c r="E62" s="12">
        <v>39.0</v>
      </c>
      <c r="F62" s="5" t="s">
        <v>18</v>
      </c>
      <c r="G62" s="5" t="s">
        <v>17</v>
      </c>
      <c r="H62" s="25">
        <v>3.0</v>
      </c>
      <c r="I62" s="18">
        <v>1.203</v>
      </c>
      <c r="J62" s="30">
        <v>1.0</v>
      </c>
      <c r="K62" s="10">
        <v>6.0</v>
      </c>
      <c r="L62" s="10">
        <v>56.0</v>
      </c>
      <c r="M62" s="11">
        <v>1.0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2.5" customHeight="1">
      <c r="A63" s="5">
        <v>174.0</v>
      </c>
      <c r="B63" s="24" t="s">
        <v>41</v>
      </c>
      <c r="C63" s="24" t="s">
        <v>42</v>
      </c>
      <c r="D63" s="25">
        <v>78.0</v>
      </c>
      <c r="E63" s="25">
        <v>39.0</v>
      </c>
      <c r="F63" s="5" t="s">
        <v>19</v>
      </c>
      <c r="G63" s="5" t="s">
        <v>16</v>
      </c>
      <c r="H63" s="25">
        <v>2.0</v>
      </c>
      <c r="I63" s="26">
        <v>0.828</v>
      </c>
      <c r="J63" s="33">
        <v>1.0</v>
      </c>
      <c r="K63" s="16">
        <v>8.0</v>
      </c>
      <c r="L63" s="16">
        <v>365.47</v>
      </c>
      <c r="M63" s="17">
        <v>1.0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2.5" customHeight="1">
      <c r="A64" s="5">
        <v>199.0</v>
      </c>
      <c r="B64" s="24" t="s">
        <v>41</v>
      </c>
      <c r="C64" s="24" t="s">
        <v>42</v>
      </c>
      <c r="D64" s="25">
        <v>78.0</v>
      </c>
      <c r="E64" s="25">
        <v>39.0</v>
      </c>
      <c r="F64" s="5" t="s">
        <v>19</v>
      </c>
      <c r="G64" s="5" t="s">
        <v>17</v>
      </c>
      <c r="H64" s="12">
        <v>3.0</v>
      </c>
      <c r="I64" s="13">
        <v>1.203</v>
      </c>
      <c r="J64" s="9">
        <v>1.0</v>
      </c>
      <c r="K64" s="16">
        <v>5.0</v>
      </c>
      <c r="L64" s="16">
        <v>2814.18</v>
      </c>
      <c r="M64" s="17">
        <v>0.9998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2.5" customHeight="1">
      <c r="A65" s="5">
        <v>124.0</v>
      </c>
      <c r="B65" s="24" t="s">
        <v>41</v>
      </c>
      <c r="C65" s="24" t="s">
        <v>42</v>
      </c>
      <c r="D65" s="25">
        <v>78.0</v>
      </c>
      <c r="E65" s="25">
        <v>39.0</v>
      </c>
      <c r="F65" s="5" t="s">
        <v>20</v>
      </c>
      <c r="G65" s="5" t="s">
        <v>16</v>
      </c>
      <c r="H65" s="25">
        <v>2.0</v>
      </c>
      <c r="I65" s="26">
        <v>0.828</v>
      </c>
      <c r="J65" s="33">
        <v>1.0</v>
      </c>
      <c r="K65" s="10">
        <v>5.0</v>
      </c>
      <c r="L65" s="10">
        <v>8.29</v>
      </c>
      <c r="M65" s="11">
        <v>1.0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2.5" customHeight="1">
      <c r="A66" s="5">
        <v>149.0</v>
      </c>
      <c r="B66" s="24" t="s">
        <v>41</v>
      </c>
      <c r="C66" s="24" t="s">
        <v>42</v>
      </c>
      <c r="D66" s="25">
        <v>78.0</v>
      </c>
      <c r="E66" s="25">
        <v>39.0</v>
      </c>
      <c r="F66" s="5" t="s">
        <v>20</v>
      </c>
      <c r="G66" s="5" t="s">
        <v>17</v>
      </c>
      <c r="H66" s="25">
        <v>3.0</v>
      </c>
      <c r="I66" s="26">
        <v>1.203</v>
      </c>
      <c r="J66" s="33">
        <v>1.0</v>
      </c>
      <c r="K66" s="10">
        <v>6.0</v>
      </c>
      <c r="L66" s="10">
        <v>119.68</v>
      </c>
      <c r="M66" s="11">
        <v>1.0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2.5" customHeight="1">
      <c r="A67" s="5">
        <v>43.0</v>
      </c>
      <c r="B67" s="13" t="s">
        <v>43</v>
      </c>
      <c r="C67" s="13" t="s">
        <v>44</v>
      </c>
      <c r="D67" s="12">
        <v>5.0</v>
      </c>
      <c r="E67" s="12">
        <v>6.0</v>
      </c>
      <c r="F67" s="5" t="s">
        <v>15</v>
      </c>
      <c r="G67" s="5" t="s">
        <v>16</v>
      </c>
      <c r="H67" s="12">
        <v>3.0</v>
      </c>
      <c r="I67" s="21" t="s">
        <v>45</v>
      </c>
      <c r="J67" s="34">
        <v>1.0</v>
      </c>
      <c r="K67" s="16">
        <v>3.0</v>
      </c>
      <c r="L67" s="16">
        <v>0.28</v>
      </c>
      <c r="M67" s="17">
        <v>1.0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2.5" customHeight="1">
      <c r="A68" s="5">
        <v>47.0</v>
      </c>
      <c r="B68" s="13" t="s">
        <v>43</v>
      </c>
      <c r="C68" s="13" t="s">
        <v>44</v>
      </c>
      <c r="D68" s="12">
        <v>5.0</v>
      </c>
      <c r="E68" s="12">
        <v>6.0</v>
      </c>
      <c r="F68" s="5" t="s">
        <v>15</v>
      </c>
      <c r="G68" s="5" t="s">
        <v>17</v>
      </c>
      <c r="H68" s="12">
        <v>5.0</v>
      </c>
      <c r="I68" s="21" t="s">
        <v>46</v>
      </c>
      <c r="J68" s="34">
        <v>1.0</v>
      </c>
      <c r="K68" s="16">
        <v>2.0</v>
      </c>
      <c r="L68" s="16">
        <v>0.09</v>
      </c>
      <c r="M68" s="17">
        <v>1.0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2.5" customHeight="1">
      <c r="A69" s="5">
        <v>227.0</v>
      </c>
      <c r="B69" s="6" t="s">
        <v>47</v>
      </c>
      <c r="C69" s="6" t="s">
        <v>48</v>
      </c>
      <c r="D69" s="7">
        <v>132.0</v>
      </c>
      <c r="E69" s="7">
        <v>15.0</v>
      </c>
      <c r="F69" s="5" t="s">
        <v>15</v>
      </c>
      <c r="G69" s="5" t="s">
        <v>16</v>
      </c>
      <c r="H69" s="7">
        <v>15.0</v>
      </c>
      <c r="I69" s="8">
        <v>12.178</v>
      </c>
      <c r="J69" s="9">
        <v>1.0</v>
      </c>
      <c r="K69" s="16">
        <v>2.0</v>
      </c>
      <c r="L69" s="16">
        <v>5.62</v>
      </c>
      <c r="M69" s="17">
        <v>1.0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2.5" customHeight="1">
      <c r="A70" s="5">
        <v>252.0</v>
      </c>
      <c r="B70" s="6" t="s">
        <v>47</v>
      </c>
      <c r="C70" s="6" t="s">
        <v>48</v>
      </c>
      <c r="D70" s="7">
        <v>132.0</v>
      </c>
      <c r="E70" s="7">
        <v>15.0</v>
      </c>
      <c r="F70" s="5" t="s">
        <v>15</v>
      </c>
      <c r="G70" s="5" t="s">
        <v>17</v>
      </c>
      <c r="H70" s="12">
        <v>8.0</v>
      </c>
      <c r="I70" s="13">
        <v>45.348</v>
      </c>
      <c r="J70" s="9">
        <v>1.0</v>
      </c>
      <c r="K70" s="10"/>
      <c r="L70" s="10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2.5" customHeight="1">
      <c r="A71" s="5">
        <v>77.0</v>
      </c>
      <c r="B71" s="13" t="s">
        <v>47</v>
      </c>
      <c r="C71" s="6" t="s">
        <v>48</v>
      </c>
      <c r="D71" s="12">
        <v>132.0</v>
      </c>
      <c r="E71" s="12">
        <v>15.0</v>
      </c>
      <c r="F71" s="5" t="s">
        <v>18</v>
      </c>
      <c r="G71" s="5" t="s">
        <v>16</v>
      </c>
      <c r="H71" s="12">
        <v>15.0</v>
      </c>
      <c r="I71" s="13">
        <v>12.178</v>
      </c>
      <c r="J71" s="30">
        <v>0.9574</v>
      </c>
      <c r="K71" s="10">
        <v>23.0</v>
      </c>
      <c r="L71" s="10">
        <v>534.56</v>
      </c>
      <c r="M71" s="11">
        <v>0.9256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2.5" customHeight="1">
      <c r="A72" s="5">
        <v>102.0</v>
      </c>
      <c r="B72" s="13" t="s">
        <v>47</v>
      </c>
      <c r="C72" s="6" t="s">
        <v>48</v>
      </c>
      <c r="D72" s="12">
        <v>132.0</v>
      </c>
      <c r="E72" s="12">
        <v>15.0</v>
      </c>
      <c r="F72" s="5" t="s">
        <v>18</v>
      </c>
      <c r="G72" s="5" t="s">
        <v>17</v>
      </c>
      <c r="H72" s="7">
        <v>8.0</v>
      </c>
      <c r="I72" s="18">
        <v>45.348</v>
      </c>
      <c r="J72" s="30">
        <v>0.9318</v>
      </c>
      <c r="K72" s="16"/>
      <c r="L72" s="16"/>
      <c r="M72" s="17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2.5" customHeight="1">
      <c r="A73" s="5">
        <v>177.0</v>
      </c>
      <c r="B73" s="6" t="s">
        <v>47</v>
      </c>
      <c r="C73" s="6" t="s">
        <v>48</v>
      </c>
      <c r="D73" s="7">
        <v>132.0</v>
      </c>
      <c r="E73" s="7">
        <v>15.0</v>
      </c>
      <c r="F73" s="5" t="s">
        <v>19</v>
      </c>
      <c r="G73" s="5" t="s">
        <v>16</v>
      </c>
      <c r="H73" s="7">
        <v>15.0</v>
      </c>
      <c r="I73" s="8">
        <v>12.178</v>
      </c>
      <c r="J73" s="9">
        <v>1.0</v>
      </c>
      <c r="K73" s="29"/>
      <c r="L73" s="29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2.5" customHeight="1">
      <c r="A74" s="5">
        <v>202.0</v>
      </c>
      <c r="B74" s="6" t="s">
        <v>47</v>
      </c>
      <c r="C74" s="6" t="s">
        <v>48</v>
      </c>
      <c r="D74" s="7">
        <v>132.0</v>
      </c>
      <c r="E74" s="7">
        <v>15.0</v>
      </c>
      <c r="F74" s="5" t="s">
        <v>19</v>
      </c>
      <c r="G74" s="5" t="s">
        <v>17</v>
      </c>
      <c r="H74" s="12">
        <v>8.0</v>
      </c>
      <c r="I74" s="13">
        <v>45.348</v>
      </c>
      <c r="J74" s="9">
        <v>1.0</v>
      </c>
      <c r="K74" s="10"/>
      <c r="L74" s="10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2.5" customHeight="1">
      <c r="A75" s="5">
        <v>127.0</v>
      </c>
      <c r="B75" s="6" t="s">
        <v>47</v>
      </c>
      <c r="C75" s="6" t="s">
        <v>48</v>
      </c>
      <c r="D75" s="7">
        <v>132.0</v>
      </c>
      <c r="E75" s="7">
        <v>15.0</v>
      </c>
      <c r="F75" s="5" t="s">
        <v>20</v>
      </c>
      <c r="G75" s="5" t="s">
        <v>16</v>
      </c>
      <c r="H75" s="7">
        <v>15.0</v>
      </c>
      <c r="I75" s="8">
        <v>12.178</v>
      </c>
      <c r="J75" s="9">
        <v>0.9574</v>
      </c>
      <c r="K75" s="16">
        <v>16.0</v>
      </c>
      <c r="L75" s="16">
        <v>179.5</v>
      </c>
      <c r="M75" s="17">
        <v>0.9773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2.5" customHeight="1">
      <c r="A76" s="5">
        <v>152.0</v>
      </c>
      <c r="B76" s="6" t="s">
        <v>47</v>
      </c>
      <c r="C76" s="6" t="s">
        <v>48</v>
      </c>
      <c r="D76" s="7">
        <v>132.0</v>
      </c>
      <c r="E76" s="7">
        <v>15.0</v>
      </c>
      <c r="F76" s="5" t="s">
        <v>20</v>
      </c>
      <c r="G76" s="5" t="s">
        <v>17</v>
      </c>
      <c r="H76" s="7">
        <v>8.0</v>
      </c>
      <c r="I76" s="8">
        <v>45.348</v>
      </c>
      <c r="J76" s="9">
        <v>0.9318</v>
      </c>
      <c r="K76" s="16">
        <v>1.0</v>
      </c>
      <c r="L76" s="16">
        <v>9.7</v>
      </c>
      <c r="M76" s="17">
        <v>1.0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2.5" customHeight="1">
      <c r="A77" s="5">
        <v>226.0</v>
      </c>
      <c r="B77" s="24" t="s">
        <v>49</v>
      </c>
      <c r="C77" s="24" t="s">
        <v>50</v>
      </c>
      <c r="D77" s="25">
        <v>153.0</v>
      </c>
      <c r="E77" s="25">
        <v>45.0</v>
      </c>
      <c r="F77" s="5" t="s">
        <v>15</v>
      </c>
      <c r="G77" s="5" t="s">
        <v>16</v>
      </c>
      <c r="H77" s="25">
        <v>1.0</v>
      </c>
      <c r="I77" s="26">
        <v>0.109</v>
      </c>
      <c r="J77" s="9">
        <v>1.0</v>
      </c>
      <c r="K77" s="10">
        <v>13.0</v>
      </c>
      <c r="L77" s="10">
        <v>243.71</v>
      </c>
      <c r="M77" s="11">
        <v>1.0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2.5" customHeight="1">
      <c r="A78" s="5">
        <v>251.0</v>
      </c>
      <c r="B78" s="24" t="s">
        <v>49</v>
      </c>
      <c r="C78" s="24" t="s">
        <v>50</v>
      </c>
      <c r="D78" s="25">
        <v>153.0</v>
      </c>
      <c r="E78" s="25">
        <v>45.0</v>
      </c>
      <c r="F78" s="5" t="s">
        <v>15</v>
      </c>
      <c r="G78" s="5" t="s">
        <v>17</v>
      </c>
      <c r="H78" s="12">
        <v>2.0</v>
      </c>
      <c r="I78" s="13">
        <v>4.48</v>
      </c>
      <c r="J78" s="9">
        <v>1.0</v>
      </c>
      <c r="K78" s="29"/>
      <c r="L78" s="29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2.5" customHeight="1">
      <c r="A79" s="5">
        <v>76.0</v>
      </c>
      <c r="B79" s="13" t="s">
        <v>49</v>
      </c>
      <c r="C79" s="24" t="s">
        <v>50</v>
      </c>
      <c r="D79" s="12">
        <v>153.0</v>
      </c>
      <c r="E79" s="12">
        <v>45.0</v>
      </c>
      <c r="F79" s="5" t="s">
        <v>18</v>
      </c>
      <c r="G79" s="5" t="s">
        <v>16</v>
      </c>
      <c r="H79" s="12">
        <v>1.0</v>
      </c>
      <c r="I79" s="13">
        <v>0.109</v>
      </c>
      <c r="J79" s="30">
        <v>1.0</v>
      </c>
      <c r="K79" s="16">
        <v>9.0</v>
      </c>
      <c r="L79" s="16">
        <v>15.0</v>
      </c>
      <c r="M79" s="17">
        <v>1.0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2.5" customHeight="1">
      <c r="A80" s="5">
        <v>101.0</v>
      </c>
      <c r="B80" s="13" t="s">
        <v>49</v>
      </c>
      <c r="C80" s="24" t="s">
        <v>50</v>
      </c>
      <c r="D80" s="12">
        <v>153.0</v>
      </c>
      <c r="E80" s="12">
        <v>45.0</v>
      </c>
      <c r="F80" s="5" t="s">
        <v>18</v>
      </c>
      <c r="G80" s="5" t="s">
        <v>17</v>
      </c>
      <c r="H80" s="25">
        <v>2.0</v>
      </c>
      <c r="I80" s="18">
        <v>4.48</v>
      </c>
      <c r="J80" s="30">
        <v>1.0</v>
      </c>
      <c r="K80" s="31"/>
      <c r="L80" s="31"/>
      <c r="M80" s="3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2.5" customHeight="1">
      <c r="A81" s="5">
        <v>176.0</v>
      </c>
      <c r="B81" s="24" t="s">
        <v>49</v>
      </c>
      <c r="C81" s="24" t="s">
        <v>50</v>
      </c>
      <c r="D81" s="25">
        <v>153.0</v>
      </c>
      <c r="E81" s="25">
        <v>45.0</v>
      </c>
      <c r="F81" s="5" t="s">
        <v>19</v>
      </c>
      <c r="G81" s="5" t="s">
        <v>16</v>
      </c>
      <c r="H81" s="25">
        <v>1.0</v>
      </c>
      <c r="I81" s="26">
        <v>0.109</v>
      </c>
      <c r="J81" s="33">
        <v>1.0</v>
      </c>
      <c r="K81" s="28"/>
      <c r="L81" s="28"/>
      <c r="M81" s="1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2.5" customHeight="1">
      <c r="A82" s="5">
        <v>201.0</v>
      </c>
      <c r="B82" s="24" t="s">
        <v>49</v>
      </c>
      <c r="C82" s="24" t="s">
        <v>50</v>
      </c>
      <c r="D82" s="25">
        <v>153.0</v>
      </c>
      <c r="E82" s="25">
        <v>45.0</v>
      </c>
      <c r="F82" s="5" t="s">
        <v>19</v>
      </c>
      <c r="G82" s="5" t="s">
        <v>17</v>
      </c>
      <c r="H82" s="12">
        <v>2.0</v>
      </c>
      <c r="I82" s="13">
        <v>4.48</v>
      </c>
      <c r="J82" s="9">
        <v>1.0</v>
      </c>
      <c r="K82" s="29"/>
      <c r="L82" s="29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2.5" customHeight="1">
      <c r="A83" s="5">
        <v>126.0</v>
      </c>
      <c r="B83" s="24" t="s">
        <v>49</v>
      </c>
      <c r="C83" s="24" t="s">
        <v>50</v>
      </c>
      <c r="D83" s="25">
        <v>153.0</v>
      </c>
      <c r="E83" s="25">
        <v>45.0</v>
      </c>
      <c r="F83" s="5" t="s">
        <v>20</v>
      </c>
      <c r="G83" s="5" t="s">
        <v>16</v>
      </c>
      <c r="H83" s="25">
        <v>1.0</v>
      </c>
      <c r="I83" s="26">
        <v>0.109</v>
      </c>
      <c r="J83" s="33">
        <v>1.0</v>
      </c>
      <c r="K83" s="10">
        <v>5.0</v>
      </c>
      <c r="L83" s="10">
        <v>24.1</v>
      </c>
      <c r="M83" s="11">
        <v>1.0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2.5" customHeight="1">
      <c r="A84" s="5">
        <v>151.0</v>
      </c>
      <c r="B84" s="24" t="s">
        <v>49</v>
      </c>
      <c r="C84" s="24" t="s">
        <v>50</v>
      </c>
      <c r="D84" s="25">
        <v>153.0</v>
      </c>
      <c r="E84" s="25">
        <v>45.0</v>
      </c>
      <c r="F84" s="5" t="s">
        <v>20</v>
      </c>
      <c r="G84" s="5" t="s">
        <v>17</v>
      </c>
      <c r="H84" s="25">
        <v>2.0</v>
      </c>
      <c r="I84" s="26">
        <v>4.48</v>
      </c>
      <c r="J84" s="33">
        <v>1.0</v>
      </c>
      <c r="K84" s="10">
        <v>1.0</v>
      </c>
      <c r="L84" s="10">
        <v>14.56</v>
      </c>
      <c r="M84" s="11">
        <v>1.0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2.5" customHeight="1">
      <c r="A85" s="5">
        <v>44.0</v>
      </c>
      <c r="B85" s="13" t="s">
        <v>51</v>
      </c>
      <c r="C85" s="13" t="s">
        <v>52</v>
      </c>
      <c r="D85" s="12">
        <v>5.0</v>
      </c>
      <c r="E85" s="12">
        <v>3.0</v>
      </c>
      <c r="F85" s="5" t="s">
        <v>15</v>
      </c>
      <c r="G85" s="5" t="s">
        <v>16</v>
      </c>
      <c r="H85" s="12">
        <v>3.0</v>
      </c>
      <c r="I85" s="13" t="s">
        <v>26</v>
      </c>
      <c r="J85" s="34">
        <v>1.0</v>
      </c>
      <c r="K85" s="16">
        <v>1.0</v>
      </c>
      <c r="L85" s="16">
        <v>0.22</v>
      </c>
      <c r="M85" s="17">
        <v>1.0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2.5" customHeight="1">
      <c r="A86" s="5">
        <v>48.0</v>
      </c>
      <c r="B86" s="13" t="s">
        <v>51</v>
      </c>
      <c r="C86" s="13" t="s">
        <v>52</v>
      </c>
      <c r="D86" s="12">
        <v>5.0</v>
      </c>
      <c r="E86" s="12">
        <v>3.0</v>
      </c>
      <c r="F86" s="5" t="s">
        <v>15</v>
      </c>
      <c r="G86" s="5" t="s">
        <v>17</v>
      </c>
      <c r="H86" s="12">
        <v>3.0</v>
      </c>
      <c r="I86" s="21" t="s">
        <v>27</v>
      </c>
      <c r="J86" s="34">
        <v>1.0</v>
      </c>
      <c r="K86" s="16">
        <v>2.0</v>
      </c>
      <c r="L86" s="16">
        <v>0.24</v>
      </c>
      <c r="M86" s="17">
        <v>1.0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2.5" customHeight="1">
      <c r="A87" s="5">
        <v>42.0</v>
      </c>
      <c r="B87" s="13" t="s">
        <v>53</v>
      </c>
      <c r="C87" s="13" t="s">
        <v>54</v>
      </c>
      <c r="D87" s="12">
        <v>23.0</v>
      </c>
      <c r="E87" s="12">
        <v>7.0</v>
      </c>
      <c r="F87" s="5" t="s">
        <v>15</v>
      </c>
      <c r="G87" s="5" t="s">
        <v>16</v>
      </c>
      <c r="H87" s="12">
        <v>6.0</v>
      </c>
      <c r="I87" s="21" t="s">
        <v>55</v>
      </c>
      <c r="J87" s="34">
        <v>1.0</v>
      </c>
      <c r="K87" s="16">
        <v>2.0</v>
      </c>
      <c r="L87" s="16">
        <v>0.67</v>
      </c>
      <c r="M87" s="17">
        <v>1.0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2.5" customHeight="1">
      <c r="A88" s="5">
        <v>46.0</v>
      </c>
      <c r="B88" s="13" t="s">
        <v>53</v>
      </c>
      <c r="C88" s="13" t="s">
        <v>54</v>
      </c>
      <c r="D88" s="12">
        <v>23.0</v>
      </c>
      <c r="E88" s="12">
        <v>7.0</v>
      </c>
      <c r="F88" s="5" t="s">
        <v>15</v>
      </c>
      <c r="G88" s="5" t="s">
        <v>17</v>
      </c>
      <c r="H88" s="12">
        <v>6.0</v>
      </c>
      <c r="I88" s="21" t="s">
        <v>56</v>
      </c>
      <c r="J88" s="34">
        <v>1.0</v>
      </c>
      <c r="K88" s="10">
        <v>6.0</v>
      </c>
      <c r="L88" s="10">
        <v>1.38</v>
      </c>
      <c r="M88" s="11">
        <v>1.0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2.5" customHeight="1">
      <c r="A89" s="5">
        <v>23.0</v>
      </c>
      <c r="B89" s="13" t="s">
        <v>53</v>
      </c>
      <c r="C89" s="13" t="s">
        <v>54</v>
      </c>
      <c r="D89" s="12">
        <v>23.0</v>
      </c>
      <c r="E89" s="12">
        <v>7.0</v>
      </c>
      <c r="F89" s="5" t="s">
        <v>18</v>
      </c>
      <c r="G89" s="5" t="s">
        <v>16</v>
      </c>
      <c r="H89" s="12">
        <v>4.0</v>
      </c>
      <c r="I89" s="21" t="s">
        <v>57</v>
      </c>
      <c r="J89" s="34">
        <v>1.0</v>
      </c>
      <c r="K89" s="10">
        <v>5.0</v>
      </c>
      <c r="L89" s="10">
        <v>0.32</v>
      </c>
      <c r="M89" s="11">
        <v>1.0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2.5" customHeight="1">
      <c r="A90" s="5">
        <v>33.0</v>
      </c>
      <c r="B90" s="13" t="s">
        <v>53</v>
      </c>
      <c r="C90" s="13" t="s">
        <v>54</v>
      </c>
      <c r="D90" s="12">
        <v>23.0</v>
      </c>
      <c r="E90" s="12">
        <v>7.0</v>
      </c>
      <c r="F90" s="5" t="s">
        <v>18</v>
      </c>
      <c r="G90" s="5" t="s">
        <v>17</v>
      </c>
      <c r="H90" s="12">
        <v>4.0</v>
      </c>
      <c r="I90" s="21" t="s">
        <v>58</v>
      </c>
      <c r="J90" s="34">
        <v>1.0</v>
      </c>
      <c r="K90" s="16">
        <v>5.0</v>
      </c>
      <c r="L90" s="16">
        <v>13.15</v>
      </c>
      <c r="M90" s="17">
        <v>1.0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2.5" customHeight="1">
      <c r="A91" s="5">
        <v>49.0</v>
      </c>
      <c r="B91" s="13" t="s">
        <v>53</v>
      </c>
      <c r="C91" s="13" t="s">
        <v>54</v>
      </c>
      <c r="D91" s="12">
        <v>23.0</v>
      </c>
      <c r="E91" s="12">
        <v>7.0</v>
      </c>
      <c r="F91" s="5" t="s">
        <v>19</v>
      </c>
      <c r="G91" s="5" t="s">
        <v>16</v>
      </c>
      <c r="H91" s="12">
        <v>5.0</v>
      </c>
      <c r="I91" s="21" t="s">
        <v>59</v>
      </c>
      <c r="J91" s="34">
        <v>1.0</v>
      </c>
      <c r="K91" s="16">
        <v>5.0</v>
      </c>
      <c r="L91" s="16">
        <v>1.64</v>
      </c>
      <c r="M91" s="17">
        <v>1.0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2.5" customHeight="1">
      <c r="A92" s="5">
        <v>53.0</v>
      </c>
      <c r="B92" s="13" t="s">
        <v>53</v>
      </c>
      <c r="C92" s="13" t="s">
        <v>54</v>
      </c>
      <c r="D92" s="12">
        <v>23.0</v>
      </c>
      <c r="E92" s="12">
        <v>7.0</v>
      </c>
      <c r="F92" s="5" t="s">
        <v>19</v>
      </c>
      <c r="G92" s="5" t="s">
        <v>17</v>
      </c>
      <c r="H92" s="12">
        <v>5.0</v>
      </c>
      <c r="I92" s="21" t="s">
        <v>56</v>
      </c>
      <c r="J92" s="34">
        <v>1.0</v>
      </c>
      <c r="K92" s="10">
        <v>4.0</v>
      </c>
      <c r="L92" s="10">
        <v>1.44</v>
      </c>
      <c r="M92" s="11">
        <v>1.0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2.5" customHeight="1">
      <c r="A93" s="5">
        <v>228.0</v>
      </c>
      <c r="B93" s="24" t="s">
        <v>60</v>
      </c>
      <c r="C93" s="24" t="s">
        <v>61</v>
      </c>
      <c r="D93" s="25">
        <v>11.0</v>
      </c>
      <c r="E93" s="25">
        <v>4.0</v>
      </c>
      <c r="F93" s="5" t="s">
        <v>15</v>
      </c>
      <c r="G93" s="5" t="s">
        <v>16</v>
      </c>
      <c r="H93" s="25">
        <v>2.0</v>
      </c>
      <c r="I93" s="26">
        <v>0.015</v>
      </c>
      <c r="J93" s="9">
        <v>1.0</v>
      </c>
      <c r="K93" s="8">
        <v>1.0</v>
      </c>
      <c r="L93" s="8">
        <v>0.16</v>
      </c>
      <c r="M93" s="11">
        <v>1.0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2.5" customHeight="1">
      <c r="A94" s="5">
        <v>253.0</v>
      </c>
      <c r="B94" s="24" t="s">
        <v>60</v>
      </c>
      <c r="C94" s="24" t="s">
        <v>61</v>
      </c>
      <c r="D94" s="25">
        <v>11.0</v>
      </c>
      <c r="E94" s="25">
        <v>4.0</v>
      </c>
      <c r="F94" s="5" t="s">
        <v>15</v>
      </c>
      <c r="G94" s="5" t="s">
        <v>17</v>
      </c>
      <c r="H94" s="12">
        <v>2.0</v>
      </c>
      <c r="I94" s="13">
        <v>0.015</v>
      </c>
      <c r="J94" s="9">
        <v>1.0</v>
      </c>
      <c r="K94" s="16">
        <v>1.0</v>
      </c>
      <c r="L94" s="16">
        <v>0.04</v>
      </c>
      <c r="M94" s="17">
        <v>1.0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2.5" customHeight="1">
      <c r="A95" s="5">
        <v>78.0</v>
      </c>
      <c r="B95" s="13" t="s">
        <v>60</v>
      </c>
      <c r="C95" s="24" t="s">
        <v>61</v>
      </c>
      <c r="D95" s="12">
        <v>11.0</v>
      </c>
      <c r="E95" s="12">
        <v>4.0</v>
      </c>
      <c r="F95" s="5" t="s">
        <v>18</v>
      </c>
      <c r="G95" s="5" t="s">
        <v>16</v>
      </c>
      <c r="H95" s="12">
        <v>2.0</v>
      </c>
      <c r="I95" s="13">
        <v>0.015</v>
      </c>
      <c r="J95" s="30">
        <v>1.0</v>
      </c>
      <c r="K95" s="35">
        <v>0.0</v>
      </c>
      <c r="L95" s="35">
        <v>0.02</v>
      </c>
      <c r="M95" s="27">
        <v>0.0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2.5" customHeight="1">
      <c r="A96" s="5">
        <v>103.0</v>
      </c>
      <c r="B96" s="13" t="s">
        <v>60</v>
      </c>
      <c r="C96" s="24" t="s">
        <v>61</v>
      </c>
      <c r="D96" s="12">
        <v>11.0</v>
      </c>
      <c r="E96" s="12">
        <v>4.0</v>
      </c>
      <c r="F96" s="5" t="s">
        <v>18</v>
      </c>
      <c r="G96" s="5" t="s">
        <v>17</v>
      </c>
      <c r="H96" s="25">
        <v>2.0</v>
      </c>
      <c r="I96" s="18">
        <v>0.015</v>
      </c>
      <c r="J96" s="30">
        <v>1.0</v>
      </c>
      <c r="K96" s="10">
        <v>0.0</v>
      </c>
      <c r="L96" s="10">
        <v>0.04</v>
      </c>
      <c r="M96" s="11">
        <v>0.0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2.5" customHeight="1">
      <c r="A97" s="5">
        <v>178.0</v>
      </c>
      <c r="B97" s="24" t="s">
        <v>60</v>
      </c>
      <c r="C97" s="24" t="s">
        <v>61</v>
      </c>
      <c r="D97" s="25">
        <v>11.0</v>
      </c>
      <c r="E97" s="25">
        <v>4.0</v>
      </c>
      <c r="F97" s="5" t="s">
        <v>19</v>
      </c>
      <c r="G97" s="5" t="s">
        <v>16</v>
      </c>
      <c r="H97" s="25">
        <v>2.0</v>
      </c>
      <c r="I97" s="26">
        <v>0.015</v>
      </c>
      <c r="J97" s="33">
        <v>1.0</v>
      </c>
      <c r="K97" s="35">
        <v>3.0</v>
      </c>
      <c r="L97" s="35">
        <v>0.29</v>
      </c>
      <c r="M97" s="27">
        <v>1.0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2.5" customHeight="1">
      <c r="A98" s="5">
        <v>203.0</v>
      </c>
      <c r="B98" s="24" t="s">
        <v>60</v>
      </c>
      <c r="C98" s="24" t="s">
        <v>61</v>
      </c>
      <c r="D98" s="25">
        <v>11.0</v>
      </c>
      <c r="E98" s="25">
        <v>4.0</v>
      </c>
      <c r="F98" s="5" t="s">
        <v>19</v>
      </c>
      <c r="G98" s="5" t="s">
        <v>17</v>
      </c>
      <c r="H98" s="12">
        <v>2.0</v>
      </c>
      <c r="I98" s="13">
        <v>0.015</v>
      </c>
      <c r="J98" s="9">
        <v>1.0</v>
      </c>
      <c r="K98" s="16">
        <v>4.0</v>
      </c>
      <c r="L98" s="16">
        <v>8.85</v>
      </c>
      <c r="M98" s="17">
        <v>1.0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2.5" customHeight="1">
      <c r="A99" s="5">
        <v>128.0</v>
      </c>
      <c r="B99" s="24" t="s">
        <v>60</v>
      </c>
      <c r="C99" s="24" t="s">
        <v>61</v>
      </c>
      <c r="D99" s="25">
        <v>11.0</v>
      </c>
      <c r="E99" s="25">
        <v>4.0</v>
      </c>
      <c r="F99" s="5" t="s">
        <v>20</v>
      </c>
      <c r="G99" s="5" t="s">
        <v>16</v>
      </c>
      <c r="H99" s="25">
        <v>2.0</v>
      </c>
      <c r="I99" s="26">
        <v>0.015</v>
      </c>
      <c r="J99" s="33">
        <v>1.0</v>
      </c>
      <c r="K99" s="35">
        <v>2.0</v>
      </c>
      <c r="L99" s="35">
        <v>0.08</v>
      </c>
      <c r="M99" s="27">
        <v>1.0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2.5" customHeight="1">
      <c r="A100" s="5">
        <v>153.0</v>
      </c>
      <c r="B100" s="24" t="s">
        <v>60</v>
      </c>
      <c r="C100" s="24" t="s">
        <v>61</v>
      </c>
      <c r="D100" s="25">
        <v>11.0</v>
      </c>
      <c r="E100" s="25">
        <v>4.0</v>
      </c>
      <c r="F100" s="5" t="s">
        <v>20</v>
      </c>
      <c r="G100" s="5" t="s">
        <v>17</v>
      </c>
      <c r="H100" s="25">
        <v>2.0</v>
      </c>
      <c r="I100" s="26">
        <v>0.015</v>
      </c>
      <c r="J100" s="33">
        <v>1.0</v>
      </c>
      <c r="K100" s="10">
        <v>2.0</v>
      </c>
      <c r="L100" s="10">
        <v>0.15</v>
      </c>
      <c r="M100" s="11">
        <v>1.0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2.5" customHeight="1">
      <c r="A101" s="5">
        <v>24.0</v>
      </c>
      <c r="B101" s="13" t="s">
        <v>62</v>
      </c>
      <c r="C101" s="13" t="s">
        <v>63</v>
      </c>
      <c r="D101" s="12">
        <v>88.0</v>
      </c>
      <c r="E101" s="12">
        <v>28.0</v>
      </c>
      <c r="F101" s="5" t="s">
        <v>18</v>
      </c>
      <c r="G101" s="5" t="s">
        <v>16</v>
      </c>
      <c r="H101" s="12">
        <v>5.0</v>
      </c>
      <c r="I101" s="21" t="s">
        <v>64</v>
      </c>
      <c r="J101" s="34">
        <v>1.0</v>
      </c>
      <c r="K101" s="10">
        <v>8.0</v>
      </c>
      <c r="L101" s="10">
        <v>7.74</v>
      </c>
      <c r="M101" s="11">
        <v>1.0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2.5" customHeight="1">
      <c r="A102" s="5">
        <v>34.0</v>
      </c>
      <c r="B102" s="13" t="s">
        <v>62</v>
      </c>
      <c r="C102" s="13" t="s">
        <v>63</v>
      </c>
      <c r="D102" s="12">
        <v>88.0</v>
      </c>
      <c r="E102" s="12">
        <v>28.0</v>
      </c>
      <c r="F102" s="5" t="s">
        <v>18</v>
      </c>
      <c r="G102" s="5" t="s">
        <v>17</v>
      </c>
      <c r="H102" s="12">
        <v>5.0</v>
      </c>
      <c r="I102" s="21" t="s">
        <v>65</v>
      </c>
      <c r="J102" s="34">
        <v>1.0</v>
      </c>
      <c r="K102" s="10">
        <v>10.0</v>
      </c>
      <c r="L102" s="10">
        <v>96.42</v>
      </c>
      <c r="M102" s="11">
        <v>1.0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2.5" customHeight="1">
      <c r="A103" s="5">
        <v>2.0</v>
      </c>
      <c r="B103" s="13" t="s">
        <v>66</v>
      </c>
      <c r="C103" s="13" t="s">
        <v>63</v>
      </c>
      <c r="D103" s="12">
        <v>88.0</v>
      </c>
      <c r="E103" s="12">
        <v>28.0</v>
      </c>
      <c r="F103" s="5" t="s">
        <v>20</v>
      </c>
      <c r="G103" s="5" t="s">
        <v>16</v>
      </c>
      <c r="H103" s="12">
        <v>5.0</v>
      </c>
      <c r="I103" s="21" t="s">
        <v>64</v>
      </c>
      <c r="J103" s="34">
        <v>1.0</v>
      </c>
      <c r="K103" s="10">
        <v>5.0</v>
      </c>
      <c r="L103" s="10">
        <v>6.4</v>
      </c>
      <c r="M103" s="11">
        <v>1.0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2.5" customHeight="1">
      <c r="A104" s="5">
        <v>3.0</v>
      </c>
      <c r="B104" s="13" t="s">
        <v>62</v>
      </c>
      <c r="C104" s="13" t="s">
        <v>63</v>
      </c>
      <c r="D104" s="12">
        <v>88.0</v>
      </c>
      <c r="E104" s="12">
        <v>28.0</v>
      </c>
      <c r="F104" s="5" t="s">
        <v>20</v>
      </c>
      <c r="G104" s="5" t="s">
        <v>16</v>
      </c>
      <c r="H104" s="12">
        <v>5.0</v>
      </c>
      <c r="I104" s="21" t="s">
        <v>67</v>
      </c>
      <c r="J104" s="34">
        <v>1.0</v>
      </c>
      <c r="K104" s="22"/>
      <c r="L104" s="22"/>
      <c r="M104" s="2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2.5" customHeight="1">
      <c r="A105" s="5">
        <v>12.0</v>
      </c>
      <c r="B105" s="13" t="s">
        <v>66</v>
      </c>
      <c r="C105" s="13" t="s">
        <v>63</v>
      </c>
      <c r="D105" s="12">
        <v>88.0</v>
      </c>
      <c r="E105" s="12">
        <v>28.0</v>
      </c>
      <c r="F105" s="5" t="s">
        <v>20</v>
      </c>
      <c r="G105" s="5" t="s">
        <v>17</v>
      </c>
      <c r="H105" s="12">
        <v>5.0</v>
      </c>
      <c r="I105" s="21" t="s">
        <v>65</v>
      </c>
      <c r="J105" s="34">
        <v>1.0</v>
      </c>
      <c r="K105" s="10">
        <v>6.0</v>
      </c>
      <c r="L105" s="10">
        <v>137.24</v>
      </c>
      <c r="M105" s="11">
        <v>1.0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2.5" customHeight="1">
      <c r="A106" s="5">
        <v>13.0</v>
      </c>
      <c r="B106" s="13" t="s">
        <v>62</v>
      </c>
      <c r="C106" s="13" t="s">
        <v>63</v>
      </c>
      <c r="D106" s="12">
        <v>88.0</v>
      </c>
      <c r="E106" s="12">
        <v>28.0</v>
      </c>
      <c r="F106" s="5" t="s">
        <v>20</v>
      </c>
      <c r="G106" s="5" t="s">
        <v>17</v>
      </c>
      <c r="H106" s="12">
        <v>6.0</v>
      </c>
      <c r="I106" s="21" t="s">
        <v>68</v>
      </c>
      <c r="J106" s="34">
        <v>1.0</v>
      </c>
      <c r="K106" s="22"/>
      <c r="L106" s="22"/>
      <c r="M106" s="2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2.5" customHeight="1">
      <c r="A107" s="5">
        <v>229.0</v>
      </c>
      <c r="B107" s="6" t="s">
        <v>69</v>
      </c>
      <c r="C107" s="6" t="s">
        <v>70</v>
      </c>
      <c r="D107" s="7">
        <v>24.0</v>
      </c>
      <c r="E107" s="7">
        <v>5.0</v>
      </c>
      <c r="F107" s="5" t="s">
        <v>15</v>
      </c>
      <c r="G107" s="5" t="s">
        <v>16</v>
      </c>
      <c r="H107" s="7">
        <v>4.0</v>
      </c>
      <c r="I107" s="8">
        <v>0.015</v>
      </c>
      <c r="J107" s="9">
        <v>1.0</v>
      </c>
      <c r="K107" s="16">
        <v>1.0</v>
      </c>
      <c r="L107" s="16">
        <v>0.35</v>
      </c>
      <c r="M107" s="17">
        <v>1.0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2.5" customHeight="1">
      <c r="A108" s="5">
        <v>254.0</v>
      </c>
      <c r="B108" s="6" t="s">
        <v>69</v>
      </c>
      <c r="C108" s="6" t="s">
        <v>70</v>
      </c>
      <c r="D108" s="7">
        <v>24.0</v>
      </c>
      <c r="E108" s="7">
        <v>5.0</v>
      </c>
      <c r="F108" s="5" t="s">
        <v>15</v>
      </c>
      <c r="G108" s="5" t="s">
        <v>17</v>
      </c>
      <c r="H108" s="12">
        <v>4.0</v>
      </c>
      <c r="I108" s="13">
        <v>0.125</v>
      </c>
      <c r="J108" s="9">
        <v>1.0</v>
      </c>
      <c r="K108" s="16">
        <v>1.0</v>
      </c>
      <c r="L108" s="16">
        <v>0.07</v>
      </c>
      <c r="M108" s="17">
        <v>1.0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2.5" customHeight="1">
      <c r="A109" s="5">
        <v>79.0</v>
      </c>
      <c r="B109" s="13" t="s">
        <v>69</v>
      </c>
      <c r="C109" s="6" t="s">
        <v>70</v>
      </c>
      <c r="D109" s="12">
        <v>24.0</v>
      </c>
      <c r="E109" s="12">
        <v>5.0</v>
      </c>
      <c r="F109" s="5" t="s">
        <v>18</v>
      </c>
      <c r="G109" s="5" t="s">
        <v>16</v>
      </c>
      <c r="H109" s="12">
        <v>4.0</v>
      </c>
      <c r="I109" s="13">
        <v>0.015</v>
      </c>
      <c r="J109" s="30">
        <v>1.0</v>
      </c>
      <c r="K109" s="10">
        <v>0.0</v>
      </c>
      <c r="L109" s="10">
        <v>0.02</v>
      </c>
      <c r="M109" s="11">
        <v>0.0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2.5" customHeight="1">
      <c r="A110" s="5">
        <v>104.0</v>
      </c>
      <c r="B110" s="13" t="s">
        <v>69</v>
      </c>
      <c r="C110" s="6" t="s">
        <v>70</v>
      </c>
      <c r="D110" s="12">
        <v>24.0</v>
      </c>
      <c r="E110" s="12">
        <v>5.0</v>
      </c>
      <c r="F110" s="5" t="s">
        <v>18</v>
      </c>
      <c r="G110" s="5" t="s">
        <v>17</v>
      </c>
      <c r="H110" s="7">
        <v>4.0</v>
      </c>
      <c r="I110" s="18">
        <v>0.125</v>
      </c>
      <c r="J110" s="30">
        <v>1.0</v>
      </c>
      <c r="K110" s="10">
        <v>0.0</v>
      </c>
      <c r="L110" s="10">
        <v>0.04</v>
      </c>
      <c r="M110" s="11">
        <v>0.0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2.5" customHeight="1">
      <c r="A111" s="5">
        <v>179.0</v>
      </c>
      <c r="B111" s="6" t="s">
        <v>69</v>
      </c>
      <c r="C111" s="6" t="s">
        <v>70</v>
      </c>
      <c r="D111" s="7">
        <v>24.0</v>
      </c>
      <c r="E111" s="7">
        <v>5.0</v>
      </c>
      <c r="F111" s="5" t="s">
        <v>19</v>
      </c>
      <c r="G111" s="5" t="s">
        <v>16</v>
      </c>
      <c r="H111" s="7">
        <v>4.0</v>
      </c>
      <c r="I111" s="8">
        <v>0.015</v>
      </c>
      <c r="J111" s="9">
        <v>1.0</v>
      </c>
      <c r="K111" s="16">
        <v>3.0</v>
      </c>
      <c r="L111" s="16">
        <v>0.77</v>
      </c>
      <c r="M111" s="17">
        <v>1.0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2.5" customHeight="1">
      <c r="A112" s="5">
        <v>204.0</v>
      </c>
      <c r="B112" s="6" t="s">
        <v>69</v>
      </c>
      <c r="C112" s="6" t="s">
        <v>70</v>
      </c>
      <c r="D112" s="7">
        <v>24.0</v>
      </c>
      <c r="E112" s="7">
        <v>5.0</v>
      </c>
      <c r="F112" s="5" t="s">
        <v>19</v>
      </c>
      <c r="G112" s="5" t="s">
        <v>17</v>
      </c>
      <c r="H112" s="12">
        <v>4.0</v>
      </c>
      <c r="I112" s="13">
        <v>0.125</v>
      </c>
      <c r="J112" s="9">
        <v>1.0</v>
      </c>
      <c r="K112" s="16">
        <v>4.0</v>
      </c>
      <c r="L112" s="16">
        <v>5.53</v>
      </c>
      <c r="M112" s="17">
        <v>1.0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2.5" customHeight="1">
      <c r="A113" s="5">
        <v>129.0</v>
      </c>
      <c r="B113" s="6" t="s">
        <v>69</v>
      </c>
      <c r="C113" s="6" t="s">
        <v>70</v>
      </c>
      <c r="D113" s="7">
        <v>24.0</v>
      </c>
      <c r="E113" s="7">
        <v>5.0</v>
      </c>
      <c r="F113" s="5" t="s">
        <v>20</v>
      </c>
      <c r="G113" s="5" t="s">
        <v>16</v>
      </c>
      <c r="H113" s="7">
        <v>4.0</v>
      </c>
      <c r="I113" s="8">
        <v>0.015</v>
      </c>
      <c r="J113" s="9">
        <v>1.0</v>
      </c>
      <c r="K113" s="10">
        <v>4.0</v>
      </c>
      <c r="L113" s="10">
        <v>0.36</v>
      </c>
      <c r="M113" s="11">
        <v>1.0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2.5" customHeight="1">
      <c r="A114" s="5">
        <v>154.0</v>
      </c>
      <c r="B114" s="6" t="s">
        <v>69</v>
      </c>
      <c r="C114" s="6" t="s">
        <v>70</v>
      </c>
      <c r="D114" s="7">
        <v>24.0</v>
      </c>
      <c r="E114" s="7">
        <v>5.0</v>
      </c>
      <c r="F114" s="5" t="s">
        <v>20</v>
      </c>
      <c r="G114" s="5" t="s">
        <v>17</v>
      </c>
      <c r="H114" s="7">
        <v>4.0</v>
      </c>
      <c r="I114" s="8">
        <v>0.125</v>
      </c>
      <c r="J114" s="9">
        <v>1.0</v>
      </c>
      <c r="K114" s="10">
        <v>3.0</v>
      </c>
      <c r="L114" s="10">
        <v>0.9</v>
      </c>
      <c r="M114" s="11">
        <v>1.0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2.5" customHeight="1">
      <c r="A115" s="5">
        <v>230.0</v>
      </c>
      <c r="B115" s="24" t="s">
        <v>71</v>
      </c>
      <c r="C115" s="24" t="s">
        <v>72</v>
      </c>
      <c r="D115" s="25">
        <v>159.0</v>
      </c>
      <c r="E115" s="25">
        <v>46.0</v>
      </c>
      <c r="F115" s="5" t="s">
        <v>15</v>
      </c>
      <c r="G115" s="5" t="s">
        <v>16</v>
      </c>
      <c r="H115" s="25">
        <v>9.0</v>
      </c>
      <c r="I115" s="26">
        <v>5.76</v>
      </c>
      <c r="J115" s="9">
        <v>1.0</v>
      </c>
      <c r="K115" s="16">
        <v>9.0</v>
      </c>
      <c r="L115" s="16">
        <v>287.28</v>
      </c>
      <c r="M115" s="17">
        <v>1.0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2.5" customHeight="1">
      <c r="A116" s="5">
        <v>255.0</v>
      </c>
      <c r="B116" s="24" t="s">
        <v>71</v>
      </c>
      <c r="C116" s="24" t="s">
        <v>72</v>
      </c>
      <c r="D116" s="25">
        <v>159.0</v>
      </c>
      <c r="E116" s="25">
        <v>46.0</v>
      </c>
      <c r="F116" s="5" t="s">
        <v>15</v>
      </c>
      <c r="G116" s="5" t="s">
        <v>17</v>
      </c>
      <c r="H116" s="12">
        <v>9.0</v>
      </c>
      <c r="I116" s="13">
        <v>6.64</v>
      </c>
      <c r="J116" s="9">
        <v>1.0</v>
      </c>
      <c r="K116" s="29"/>
      <c r="L116" s="29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2.5" customHeight="1">
      <c r="A117" s="5">
        <v>80.0</v>
      </c>
      <c r="B117" s="13" t="s">
        <v>71</v>
      </c>
      <c r="C117" s="24" t="s">
        <v>72</v>
      </c>
      <c r="D117" s="12">
        <v>159.0</v>
      </c>
      <c r="E117" s="12">
        <v>46.0</v>
      </c>
      <c r="F117" s="5" t="s">
        <v>18</v>
      </c>
      <c r="G117" s="5" t="s">
        <v>16</v>
      </c>
      <c r="H117" s="12">
        <v>9.0</v>
      </c>
      <c r="I117" s="13">
        <v>5.76</v>
      </c>
      <c r="J117" s="30">
        <v>1.0</v>
      </c>
      <c r="K117" s="10">
        <v>13.0</v>
      </c>
      <c r="L117" s="10">
        <v>40.21</v>
      </c>
      <c r="M117" s="11">
        <v>1.0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2.5" customHeight="1">
      <c r="A118" s="5">
        <v>105.0</v>
      </c>
      <c r="B118" s="13" t="s">
        <v>71</v>
      </c>
      <c r="C118" s="24" t="s">
        <v>72</v>
      </c>
      <c r="D118" s="12">
        <v>159.0</v>
      </c>
      <c r="E118" s="12">
        <v>46.0</v>
      </c>
      <c r="F118" s="5" t="s">
        <v>18</v>
      </c>
      <c r="G118" s="5" t="s">
        <v>17</v>
      </c>
      <c r="H118" s="25">
        <v>9.0</v>
      </c>
      <c r="I118" s="18">
        <v>6.64</v>
      </c>
      <c r="J118" s="30">
        <v>1.0</v>
      </c>
      <c r="K118" s="31"/>
      <c r="L118" s="31"/>
      <c r="M118" s="32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2.5" customHeight="1">
      <c r="A119" s="5">
        <v>180.0</v>
      </c>
      <c r="B119" s="24" t="s">
        <v>71</v>
      </c>
      <c r="C119" s="24" t="s">
        <v>72</v>
      </c>
      <c r="D119" s="25">
        <v>159.0</v>
      </c>
      <c r="E119" s="25">
        <v>46.0</v>
      </c>
      <c r="F119" s="5" t="s">
        <v>19</v>
      </c>
      <c r="G119" s="5" t="s">
        <v>16</v>
      </c>
      <c r="H119" s="25">
        <v>9.0</v>
      </c>
      <c r="I119" s="26">
        <v>5.76</v>
      </c>
      <c r="J119" s="33">
        <v>1.0</v>
      </c>
      <c r="K119" s="28"/>
      <c r="L119" s="28"/>
      <c r="M119" s="1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2.5" customHeight="1">
      <c r="A120" s="5">
        <v>205.0</v>
      </c>
      <c r="B120" s="24" t="s">
        <v>71</v>
      </c>
      <c r="C120" s="24" t="s">
        <v>72</v>
      </c>
      <c r="D120" s="25">
        <v>159.0</v>
      </c>
      <c r="E120" s="25">
        <v>46.0</v>
      </c>
      <c r="F120" s="5" t="s">
        <v>19</v>
      </c>
      <c r="G120" s="5" t="s">
        <v>17</v>
      </c>
      <c r="H120" s="12">
        <v>9.0</v>
      </c>
      <c r="I120" s="13">
        <v>6.64</v>
      </c>
      <c r="J120" s="9">
        <v>1.0</v>
      </c>
      <c r="K120" s="29"/>
      <c r="L120" s="29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2.5" customHeight="1">
      <c r="A121" s="5">
        <v>130.0</v>
      </c>
      <c r="B121" s="24" t="s">
        <v>71</v>
      </c>
      <c r="C121" s="24" t="s">
        <v>72</v>
      </c>
      <c r="D121" s="25">
        <v>159.0</v>
      </c>
      <c r="E121" s="25">
        <v>46.0</v>
      </c>
      <c r="F121" s="5" t="s">
        <v>20</v>
      </c>
      <c r="G121" s="5" t="s">
        <v>16</v>
      </c>
      <c r="H121" s="25">
        <v>9.0</v>
      </c>
      <c r="I121" s="26">
        <v>5.76</v>
      </c>
      <c r="J121" s="33">
        <v>1.0</v>
      </c>
      <c r="K121" s="16">
        <v>7.0</v>
      </c>
      <c r="L121" s="16">
        <v>29.18</v>
      </c>
      <c r="M121" s="17">
        <v>1.0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2.5" customHeight="1">
      <c r="A122" s="5">
        <v>155.0</v>
      </c>
      <c r="B122" s="24" t="s">
        <v>71</v>
      </c>
      <c r="C122" s="24" t="s">
        <v>72</v>
      </c>
      <c r="D122" s="25">
        <v>159.0</v>
      </c>
      <c r="E122" s="25">
        <v>46.0</v>
      </c>
      <c r="F122" s="5" t="s">
        <v>20</v>
      </c>
      <c r="G122" s="5" t="s">
        <v>17</v>
      </c>
      <c r="H122" s="25">
        <v>9.0</v>
      </c>
      <c r="I122" s="26">
        <v>6.64</v>
      </c>
      <c r="J122" s="33">
        <v>1.0</v>
      </c>
      <c r="K122" s="16">
        <v>1.0</v>
      </c>
      <c r="L122" s="16">
        <v>17.53</v>
      </c>
      <c r="M122" s="17">
        <v>1.0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2.5" customHeight="1">
      <c r="A123" s="5">
        <v>231.0</v>
      </c>
      <c r="B123" s="6" t="s">
        <v>73</v>
      </c>
      <c r="C123" s="6" t="s">
        <v>74</v>
      </c>
      <c r="D123" s="7">
        <v>65.0</v>
      </c>
      <c r="E123" s="7">
        <v>6.0</v>
      </c>
      <c r="F123" s="5" t="s">
        <v>15</v>
      </c>
      <c r="G123" s="5" t="s">
        <v>16</v>
      </c>
      <c r="H123" s="7">
        <v>5.0</v>
      </c>
      <c r="I123" s="8">
        <v>0.438</v>
      </c>
      <c r="J123" s="9">
        <v>1.0</v>
      </c>
      <c r="K123" s="10">
        <v>1.0</v>
      </c>
      <c r="L123" s="10">
        <v>0.96</v>
      </c>
      <c r="M123" s="11">
        <v>1.0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2.5" customHeight="1">
      <c r="A124" s="5">
        <v>256.0</v>
      </c>
      <c r="B124" s="6" t="s">
        <v>73</v>
      </c>
      <c r="C124" s="6" t="s">
        <v>74</v>
      </c>
      <c r="D124" s="7">
        <v>65.0</v>
      </c>
      <c r="E124" s="7">
        <v>6.0</v>
      </c>
      <c r="F124" s="5" t="s">
        <v>15</v>
      </c>
      <c r="G124" s="5" t="s">
        <v>17</v>
      </c>
      <c r="H124" s="12">
        <v>5.0</v>
      </c>
      <c r="I124" s="13">
        <v>1.515</v>
      </c>
      <c r="J124" s="9">
        <v>1.0</v>
      </c>
      <c r="K124" s="10">
        <v>1.0</v>
      </c>
      <c r="L124" s="10">
        <v>0.21</v>
      </c>
      <c r="M124" s="11">
        <v>1.0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2.5" customHeight="1">
      <c r="A125" s="5">
        <v>81.0</v>
      </c>
      <c r="B125" s="13" t="s">
        <v>73</v>
      </c>
      <c r="C125" s="6" t="s">
        <v>74</v>
      </c>
      <c r="D125" s="12">
        <v>65.0</v>
      </c>
      <c r="E125" s="12">
        <v>6.0</v>
      </c>
      <c r="F125" s="5" t="s">
        <v>18</v>
      </c>
      <c r="G125" s="5" t="s">
        <v>16</v>
      </c>
      <c r="H125" s="12">
        <v>5.0</v>
      </c>
      <c r="I125" s="13">
        <v>0.438</v>
      </c>
      <c r="J125" s="30">
        <v>1.0</v>
      </c>
      <c r="K125" s="16">
        <v>0.0</v>
      </c>
      <c r="L125" s="16">
        <v>0.02</v>
      </c>
      <c r="M125" s="17">
        <v>0.0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2.5" customHeight="1">
      <c r="A126" s="5">
        <v>106.0</v>
      </c>
      <c r="B126" s="13" t="s">
        <v>73</v>
      </c>
      <c r="C126" s="6" t="s">
        <v>74</v>
      </c>
      <c r="D126" s="12">
        <v>65.0</v>
      </c>
      <c r="E126" s="12">
        <v>6.0</v>
      </c>
      <c r="F126" s="5" t="s">
        <v>18</v>
      </c>
      <c r="G126" s="5" t="s">
        <v>17</v>
      </c>
      <c r="H126" s="7">
        <v>5.0</v>
      </c>
      <c r="I126" s="18">
        <v>1.515</v>
      </c>
      <c r="J126" s="30">
        <v>1.0</v>
      </c>
      <c r="K126" s="16">
        <v>0.0</v>
      </c>
      <c r="L126" s="16">
        <v>0.03</v>
      </c>
      <c r="M126" s="17">
        <v>0.0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2.5" customHeight="1">
      <c r="A127" s="5">
        <v>181.0</v>
      </c>
      <c r="B127" s="6" t="s">
        <v>73</v>
      </c>
      <c r="C127" s="6" t="s">
        <v>74</v>
      </c>
      <c r="D127" s="7">
        <v>65.0</v>
      </c>
      <c r="E127" s="7">
        <v>6.0</v>
      </c>
      <c r="F127" s="5" t="s">
        <v>19</v>
      </c>
      <c r="G127" s="5" t="s">
        <v>16</v>
      </c>
      <c r="H127" s="7">
        <v>5.0</v>
      </c>
      <c r="I127" s="8">
        <v>0.438</v>
      </c>
      <c r="J127" s="9">
        <v>1.0</v>
      </c>
      <c r="K127" s="10">
        <v>3.0</v>
      </c>
      <c r="L127" s="10">
        <v>4.35</v>
      </c>
      <c r="M127" s="11">
        <v>1.0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2.5" customHeight="1">
      <c r="A128" s="5">
        <v>206.0</v>
      </c>
      <c r="B128" s="6" t="s">
        <v>73</v>
      </c>
      <c r="C128" s="6" t="s">
        <v>74</v>
      </c>
      <c r="D128" s="7">
        <v>65.0</v>
      </c>
      <c r="E128" s="7">
        <v>6.0</v>
      </c>
      <c r="F128" s="5" t="s">
        <v>19</v>
      </c>
      <c r="G128" s="5" t="s">
        <v>17</v>
      </c>
      <c r="H128" s="12">
        <v>5.0</v>
      </c>
      <c r="I128" s="13">
        <v>1.515</v>
      </c>
      <c r="J128" s="9">
        <v>1.0</v>
      </c>
      <c r="K128" s="10">
        <v>5.0</v>
      </c>
      <c r="L128" s="10">
        <v>43.74</v>
      </c>
      <c r="M128" s="11">
        <v>1.0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2.5" customHeight="1">
      <c r="A129" s="5">
        <v>131.0</v>
      </c>
      <c r="B129" s="6" t="s">
        <v>73</v>
      </c>
      <c r="C129" s="6" t="s">
        <v>74</v>
      </c>
      <c r="D129" s="7">
        <v>65.0</v>
      </c>
      <c r="E129" s="7">
        <v>6.0</v>
      </c>
      <c r="F129" s="5" t="s">
        <v>20</v>
      </c>
      <c r="G129" s="5" t="s">
        <v>16</v>
      </c>
      <c r="H129" s="7">
        <v>5.0</v>
      </c>
      <c r="I129" s="8">
        <v>0.438</v>
      </c>
      <c r="J129" s="9">
        <v>1.0</v>
      </c>
      <c r="K129" s="16">
        <v>5.0</v>
      </c>
      <c r="L129" s="16">
        <v>3.16</v>
      </c>
      <c r="M129" s="17">
        <v>1.0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2.5" customHeight="1">
      <c r="A130" s="5">
        <v>156.0</v>
      </c>
      <c r="B130" s="6" t="s">
        <v>73</v>
      </c>
      <c r="C130" s="6" t="s">
        <v>74</v>
      </c>
      <c r="D130" s="7">
        <v>65.0</v>
      </c>
      <c r="E130" s="7">
        <v>6.0</v>
      </c>
      <c r="F130" s="5" t="s">
        <v>20</v>
      </c>
      <c r="G130" s="5" t="s">
        <v>17</v>
      </c>
      <c r="H130" s="7">
        <v>5.0</v>
      </c>
      <c r="I130" s="8">
        <v>1.515</v>
      </c>
      <c r="J130" s="9">
        <v>1.0</v>
      </c>
      <c r="K130" s="16">
        <v>7.0</v>
      </c>
      <c r="L130" s="16">
        <v>8.75</v>
      </c>
      <c r="M130" s="17">
        <v>1.0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2.5" customHeight="1">
      <c r="A131" s="5">
        <v>232.0</v>
      </c>
      <c r="B131" s="24" t="s">
        <v>75</v>
      </c>
      <c r="C131" s="24" t="s">
        <v>76</v>
      </c>
      <c r="D131" s="25">
        <v>281.0</v>
      </c>
      <c r="E131" s="25">
        <v>73.0</v>
      </c>
      <c r="F131" s="5" t="s">
        <v>15</v>
      </c>
      <c r="G131" s="5" t="s">
        <v>16</v>
      </c>
      <c r="H131" s="25">
        <v>26.0</v>
      </c>
      <c r="I131" s="26">
        <v>39.85</v>
      </c>
      <c r="J131" s="9">
        <v>1.0</v>
      </c>
      <c r="K131" s="10">
        <v>13.0</v>
      </c>
      <c r="L131" s="10">
        <v>1656.52</v>
      </c>
      <c r="M131" s="11">
        <v>1.0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2.5" customHeight="1">
      <c r="A132" s="5">
        <v>257.0</v>
      </c>
      <c r="B132" s="24" t="s">
        <v>75</v>
      </c>
      <c r="C132" s="24" t="s">
        <v>76</v>
      </c>
      <c r="D132" s="25">
        <v>281.0</v>
      </c>
      <c r="E132" s="25">
        <v>73.0</v>
      </c>
      <c r="F132" s="5" t="s">
        <v>15</v>
      </c>
      <c r="G132" s="5" t="s">
        <v>17</v>
      </c>
      <c r="H132" s="12">
        <v>29.0</v>
      </c>
      <c r="I132" s="13">
        <v>39.96</v>
      </c>
      <c r="J132" s="9">
        <v>1.0</v>
      </c>
      <c r="K132" s="29"/>
      <c r="L132" s="29"/>
      <c r="M132" s="11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2.5" customHeight="1">
      <c r="A133" s="5">
        <v>82.0</v>
      </c>
      <c r="B133" s="13" t="s">
        <v>75</v>
      </c>
      <c r="C133" s="24" t="s">
        <v>76</v>
      </c>
      <c r="D133" s="12">
        <v>281.0</v>
      </c>
      <c r="E133" s="12">
        <v>73.0</v>
      </c>
      <c r="F133" s="5" t="s">
        <v>18</v>
      </c>
      <c r="G133" s="5" t="s">
        <v>16</v>
      </c>
      <c r="H133" s="12">
        <v>26.0</v>
      </c>
      <c r="I133" s="13">
        <v>39.85</v>
      </c>
      <c r="J133" s="30">
        <v>1.0</v>
      </c>
      <c r="K133" s="16">
        <v>16.0</v>
      </c>
      <c r="L133" s="16">
        <v>182.92</v>
      </c>
      <c r="M133" s="17">
        <v>1.0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2.5" customHeight="1">
      <c r="A134" s="5">
        <v>107.0</v>
      </c>
      <c r="B134" s="13" t="s">
        <v>75</v>
      </c>
      <c r="C134" s="24" t="s">
        <v>76</v>
      </c>
      <c r="D134" s="12">
        <v>281.0</v>
      </c>
      <c r="E134" s="12">
        <v>73.0</v>
      </c>
      <c r="F134" s="5" t="s">
        <v>18</v>
      </c>
      <c r="G134" s="5" t="s">
        <v>17</v>
      </c>
      <c r="H134" s="25">
        <v>29.0</v>
      </c>
      <c r="I134" s="18">
        <v>39.96</v>
      </c>
      <c r="J134" s="30">
        <v>1.0</v>
      </c>
      <c r="K134" s="31"/>
      <c r="L134" s="31"/>
      <c r="M134" s="32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2.5" customHeight="1">
      <c r="A135" s="5">
        <v>182.0</v>
      </c>
      <c r="B135" s="24" t="s">
        <v>75</v>
      </c>
      <c r="C135" s="24" t="s">
        <v>76</v>
      </c>
      <c r="D135" s="25">
        <v>281.0</v>
      </c>
      <c r="E135" s="25">
        <v>73.0</v>
      </c>
      <c r="F135" s="5" t="s">
        <v>19</v>
      </c>
      <c r="G135" s="5" t="s">
        <v>16</v>
      </c>
      <c r="H135" s="25">
        <v>26.0</v>
      </c>
      <c r="I135" s="26">
        <v>39.85</v>
      </c>
      <c r="J135" s="33">
        <v>1.0</v>
      </c>
      <c r="K135" s="28"/>
      <c r="L135" s="28"/>
      <c r="M135" s="1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2.5" customHeight="1">
      <c r="A136" s="5">
        <v>207.0</v>
      </c>
      <c r="B136" s="24" t="s">
        <v>75</v>
      </c>
      <c r="C136" s="24" t="s">
        <v>76</v>
      </c>
      <c r="D136" s="25">
        <v>281.0</v>
      </c>
      <c r="E136" s="25">
        <v>73.0</v>
      </c>
      <c r="F136" s="5" t="s">
        <v>19</v>
      </c>
      <c r="G136" s="5" t="s">
        <v>17</v>
      </c>
      <c r="H136" s="12">
        <v>29.0</v>
      </c>
      <c r="I136" s="13">
        <v>39.96</v>
      </c>
      <c r="J136" s="9">
        <v>1.0</v>
      </c>
      <c r="K136" s="29"/>
      <c r="L136" s="29"/>
      <c r="M136" s="11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2.5" customHeight="1">
      <c r="A137" s="5">
        <v>132.0</v>
      </c>
      <c r="B137" s="24" t="s">
        <v>75</v>
      </c>
      <c r="C137" s="24" t="s">
        <v>76</v>
      </c>
      <c r="D137" s="25">
        <v>281.0</v>
      </c>
      <c r="E137" s="25">
        <v>73.0</v>
      </c>
      <c r="F137" s="5" t="s">
        <v>20</v>
      </c>
      <c r="G137" s="5" t="s">
        <v>16</v>
      </c>
      <c r="H137" s="25">
        <v>26.0</v>
      </c>
      <c r="I137" s="26">
        <v>39.85</v>
      </c>
      <c r="J137" s="33">
        <v>1.0</v>
      </c>
      <c r="K137" s="10">
        <v>7.0</v>
      </c>
      <c r="L137" s="10">
        <v>151.32</v>
      </c>
      <c r="M137" s="11">
        <v>1.0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2.5" customHeight="1">
      <c r="A138" s="5">
        <v>157.0</v>
      </c>
      <c r="B138" s="24" t="s">
        <v>75</v>
      </c>
      <c r="C138" s="24" t="s">
        <v>76</v>
      </c>
      <c r="D138" s="25">
        <v>281.0</v>
      </c>
      <c r="E138" s="25">
        <v>73.0</v>
      </c>
      <c r="F138" s="5" t="s">
        <v>20</v>
      </c>
      <c r="G138" s="5" t="s">
        <v>17</v>
      </c>
      <c r="H138" s="25">
        <v>28.0</v>
      </c>
      <c r="I138" s="26">
        <v>40.52</v>
      </c>
      <c r="J138" s="33">
        <v>1.0</v>
      </c>
      <c r="K138" s="10">
        <v>1.0</v>
      </c>
      <c r="L138" s="10">
        <v>36.01</v>
      </c>
      <c r="M138" s="11">
        <v>1.0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2.5" customHeight="1">
      <c r="A139" s="5">
        <v>233.0</v>
      </c>
      <c r="B139" s="6" t="s">
        <v>77</v>
      </c>
      <c r="C139" s="6" t="s">
        <v>78</v>
      </c>
      <c r="D139" s="7">
        <v>166.0</v>
      </c>
      <c r="E139" s="7">
        <v>7.0</v>
      </c>
      <c r="F139" s="5" t="s">
        <v>15</v>
      </c>
      <c r="G139" s="5" t="s">
        <v>16</v>
      </c>
      <c r="H139" s="7">
        <v>7.0</v>
      </c>
      <c r="I139" s="8">
        <v>9.375</v>
      </c>
      <c r="J139" s="9">
        <v>1.0</v>
      </c>
      <c r="K139" s="16">
        <v>1.0</v>
      </c>
      <c r="L139" s="16">
        <v>1.03</v>
      </c>
      <c r="M139" s="17">
        <v>1.0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2.5" customHeight="1">
      <c r="A140" s="5">
        <v>258.0</v>
      </c>
      <c r="B140" s="6" t="s">
        <v>77</v>
      </c>
      <c r="C140" s="6" t="s">
        <v>78</v>
      </c>
      <c r="D140" s="7">
        <v>166.0</v>
      </c>
      <c r="E140" s="7">
        <v>7.0</v>
      </c>
      <c r="F140" s="5" t="s">
        <v>15</v>
      </c>
      <c r="G140" s="5" t="s">
        <v>17</v>
      </c>
      <c r="H140" s="12">
        <v>7.0</v>
      </c>
      <c r="I140" s="13">
        <v>8.937</v>
      </c>
      <c r="J140" s="9">
        <v>1.0</v>
      </c>
      <c r="K140" s="29"/>
      <c r="L140" s="29"/>
      <c r="M140" s="11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2.5" customHeight="1">
      <c r="A141" s="5">
        <v>83.0</v>
      </c>
      <c r="B141" s="13" t="s">
        <v>77</v>
      </c>
      <c r="C141" s="6" t="s">
        <v>78</v>
      </c>
      <c r="D141" s="12">
        <v>166.0</v>
      </c>
      <c r="E141" s="12">
        <v>7.0</v>
      </c>
      <c r="F141" s="5" t="s">
        <v>18</v>
      </c>
      <c r="G141" s="5" t="s">
        <v>16</v>
      </c>
      <c r="H141" s="12">
        <v>7.0</v>
      </c>
      <c r="I141" s="13">
        <v>9.375</v>
      </c>
      <c r="J141" s="30">
        <v>1.0</v>
      </c>
      <c r="K141" s="10">
        <v>0.0</v>
      </c>
      <c r="L141" s="10">
        <v>0.03</v>
      </c>
      <c r="M141" s="11">
        <v>0.0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2.5" customHeight="1">
      <c r="A142" s="5">
        <v>108.0</v>
      </c>
      <c r="B142" s="13" t="s">
        <v>77</v>
      </c>
      <c r="C142" s="6" t="s">
        <v>78</v>
      </c>
      <c r="D142" s="12">
        <v>166.0</v>
      </c>
      <c r="E142" s="12">
        <v>7.0</v>
      </c>
      <c r="F142" s="5" t="s">
        <v>18</v>
      </c>
      <c r="G142" s="5" t="s">
        <v>17</v>
      </c>
      <c r="H142" s="7">
        <v>7.0</v>
      </c>
      <c r="I142" s="18">
        <v>8.937</v>
      </c>
      <c r="J142" s="30">
        <v>1.0</v>
      </c>
      <c r="K142" s="31"/>
      <c r="L142" s="31"/>
      <c r="M142" s="32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2.5" customHeight="1">
      <c r="A143" s="5">
        <v>183.0</v>
      </c>
      <c r="B143" s="6" t="s">
        <v>77</v>
      </c>
      <c r="C143" s="6" t="s">
        <v>78</v>
      </c>
      <c r="D143" s="7">
        <v>166.0</v>
      </c>
      <c r="E143" s="7">
        <v>7.0</v>
      </c>
      <c r="F143" s="5" t="s">
        <v>19</v>
      </c>
      <c r="G143" s="5" t="s">
        <v>16</v>
      </c>
      <c r="H143" s="7">
        <v>7.0</v>
      </c>
      <c r="I143" s="8">
        <v>9.375</v>
      </c>
      <c r="J143" s="9">
        <v>1.0</v>
      </c>
      <c r="K143" s="29"/>
      <c r="L143" s="29"/>
      <c r="M143" s="11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2.5" customHeight="1">
      <c r="A144" s="5">
        <v>208.0</v>
      </c>
      <c r="B144" s="6" t="s">
        <v>77</v>
      </c>
      <c r="C144" s="6" t="s">
        <v>78</v>
      </c>
      <c r="D144" s="7">
        <v>166.0</v>
      </c>
      <c r="E144" s="7">
        <v>7.0</v>
      </c>
      <c r="F144" s="5" t="s">
        <v>19</v>
      </c>
      <c r="G144" s="5" t="s">
        <v>17</v>
      </c>
      <c r="H144" s="12">
        <v>7.0</v>
      </c>
      <c r="I144" s="13">
        <v>8.937</v>
      </c>
      <c r="J144" s="9">
        <v>1.0</v>
      </c>
      <c r="K144" s="29"/>
      <c r="L144" s="29"/>
      <c r="M144" s="11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2.5" customHeight="1">
      <c r="A145" s="5">
        <v>133.0</v>
      </c>
      <c r="B145" s="6" t="s">
        <v>77</v>
      </c>
      <c r="C145" s="6" t="s">
        <v>78</v>
      </c>
      <c r="D145" s="7">
        <v>166.0</v>
      </c>
      <c r="E145" s="7">
        <v>7.0</v>
      </c>
      <c r="F145" s="5" t="s">
        <v>20</v>
      </c>
      <c r="G145" s="5" t="s">
        <v>16</v>
      </c>
      <c r="H145" s="7">
        <v>7.0</v>
      </c>
      <c r="I145" s="8">
        <v>9.375</v>
      </c>
      <c r="J145" s="9">
        <v>1.0</v>
      </c>
      <c r="K145" s="16">
        <v>6.0</v>
      </c>
      <c r="L145" s="16">
        <v>13.03</v>
      </c>
      <c r="M145" s="17">
        <v>1.0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2.5" customHeight="1">
      <c r="A146" s="5">
        <v>158.0</v>
      </c>
      <c r="B146" s="6" t="s">
        <v>77</v>
      </c>
      <c r="C146" s="6" t="s">
        <v>78</v>
      </c>
      <c r="D146" s="7">
        <v>166.0</v>
      </c>
      <c r="E146" s="7">
        <v>7.0</v>
      </c>
      <c r="F146" s="5" t="s">
        <v>20</v>
      </c>
      <c r="G146" s="5" t="s">
        <v>17</v>
      </c>
      <c r="H146" s="7">
        <v>7.0</v>
      </c>
      <c r="I146" s="8">
        <v>8.937</v>
      </c>
      <c r="J146" s="9">
        <v>1.0</v>
      </c>
      <c r="K146" s="16">
        <v>1.0</v>
      </c>
      <c r="L146" s="16">
        <v>2.51</v>
      </c>
      <c r="M146" s="17">
        <v>1.0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2.5" customHeight="1">
      <c r="A147" s="5">
        <v>25.0</v>
      </c>
      <c r="B147" s="13" t="s">
        <v>79</v>
      </c>
      <c r="C147" s="13" t="s">
        <v>80</v>
      </c>
      <c r="D147" s="12">
        <v>21.0</v>
      </c>
      <c r="E147" s="12">
        <v>6.0</v>
      </c>
      <c r="F147" s="5" t="s">
        <v>18</v>
      </c>
      <c r="G147" s="5" t="s">
        <v>16</v>
      </c>
      <c r="H147" s="12">
        <v>3.0</v>
      </c>
      <c r="I147" s="21" t="s">
        <v>27</v>
      </c>
      <c r="J147" s="34">
        <v>1.0</v>
      </c>
      <c r="K147" s="16">
        <v>8.0</v>
      </c>
      <c r="L147" s="16">
        <v>3.31</v>
      </c>
      <c r="M147" s="17">
        <v>1.0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2.5" customHeight="1">
      <c r="A148" s="5">
        <v>35.0</v>
      </c>
      <c r="B148" s="13" t="s">
        <v>79</v>
      </c>
      <c r="C148" s="13" t="s">
        <v>80</v>
      </c>
      <c r="D148" s="12">
        <v>21.0</v>
      </c>
      <c r="E148" s="12">
        <v>6.0</v>
      </c>
      <c r="F148" s="5" t="s">
        <v>18</v>
      </c>
      <c r="G148" s="5" t="s">
        <v>17</v>
      </c>
      <c r="H148" s="12">
        <v>3.0</v>
      </c>
      <c r="I148" s="21" t="s">
        <v>59</v>
      </c>
      <c r="J148" s="34">
        <v>1.0</v>
      </c>
      <c r="K148" s="16">
        <v>12.0</v>
      </c>
      <c r="L148" s="16">
        <v>4.07</v>
      </c>
      <c r="M148" s="17">
        <v>1.0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2.5" customHeight="1">
      <c r="A149" s="5">
        <v>50.0</v>
      </c>
      <c r="B149" s="13" t="s">
        <v>79</v>
      </c>
      <c r="C149" s="13" t="s">
        <v>80</v>
      </c>
      <c r="D149" s="12">
        <v>21.0</v>
      </c>
      <c r="E149" s="12">
        <v>6.0</v>
      </c>
      <c r="F149" s="5" t="s">
        <v>19</v>
      </c>
      <c r="G149" s="5" t="s">
        <v>16</v>
      </c>
      <c r="H149" s="12">
        <v>3.0</v>
      </c>
      <c r="I149" s="21" t="s">
        <v>81</v>
      </c>
      <c r="J149" s="34">
        <v>1.0</v>
      </c>
      <c r="K149" s="10">
        <v>3.0</v>
      </c>
      <c r="L149" s="10">
        <v>0.88</v>
      </c>
      <c r="M149" s="11">
        <v>1.0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2.5" customHeight="1">
      <c r="A150" s="5">
        <v>54.0</v>
      </c>
      <c r="B150" s="13" t="s">
        <v>79</v>
      </c>
      <c r="C150" s="13" t="s">
        <v>80</v>
      </c>
      <c r="D150" s="12">
        <v>21.0</v>
      </c>
      <c r="E150" s="12">
        <v>6.0</v>
      </c>
      <c r="F150" s="5" t="s">
        <v>19</v>
      </c>
      <c r="G150" s="5" t="s">
        <v>17</v>
      </c>
      <c r="H150" s="12">
        <v>4.0</v>
      </c>
      <c r="I150" s="21" t="s">
        <v>82</v>
      </c>
      <c r="J150" s="34">
        <v>1.0</v>
      </c>
      <c r="K150" s="10">
        <v>3.0</v>
      </c>
      <c r="L150" s="10">
        <v>4.88</v>
      </c>
      <c r="M150" s="11">
        <v>1.0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2.5" customHeight="1">
      <c r="A151" s="5">
        <v>4.0</v>
      </c>
      <c r="B151" s="13" t="s">
        <v>79</v>
      </c>
      <c r="C151" s="13" t="s">
        <v>80</v>
      </c>
      <c r="D151" s="12">
        <v>21.0</v>
      </c>
      <c r="E151" s="12">
        <v>6.0</v>
      </c>
      <c r="F151" s="5" t="s">
        <v>20</v>
      </c>
      <c r="G151" s="5" t="s">
        <v>16</v>
      </c>
      <c r="H151" s="12">
        <v>3.0</v>
      </c>
      <c r="I151" s="21" t="s">
        <v>27</v>
      </c>
      <c r="J151" s="34">
        <v>1.0</v>
      </c>
      <c r="K151" s="16">
        <v>4.0</v>
      </c>
      <c r="L151" s="16">
        <v>0.34</v>
      </c>
      <c r="M151" s="17">
        <v>1.0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2.5" customHeight="1">
      <c r="A152" s="5">
        <v>14.0</v>
      </c>
      <c r="B152" s="13" t="s">
        <v>79</v>
      </c>
      <c r="C152" s="13" t="s">
        <v>80</v>
      </c>
      <c r="D152" s="12">
        <v>21.0</v>
      </c>
      <c r="E152" s="12">
        <v>6.0</v>
      </c>
      <c r="F152" s="5" t="s">
        <v>20</v>
      </c>
      <c r="G152" s="5" t="s">
        <v>17</v>
      </c>
      <c r="H152" s="12">
        <v>3.0</v>
      </c>
      <c r="I152" s="21" t="s">
        <v>82</v>
      </c>
      <c r="J152" s="34">
        <v>1.0</v>
      </c>
      <c r="K152" s="16">
        <v>5.0</v>
      </c>
      <c r="L152" s="16">
        <v>1.15</v>
      </c>
      <c r="M152" s="17">
        <v>1.0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2.5" customHeight="1">
      <c r="A153" s="5">
        <v>26.0</v>
      </c>
      <c r="B153" s="13" t="s">
        <v>83</v>
      </c>
      <c r="C153" s="13" t="s">
        <v>84</v>
      </c>
      <c r="D153" s="12">
        <v>8.0</v>
      </c>
      <c r="E153" s="12">
        <v>5.0</v>
      </c>
      <c r="F153" s="5" t="s">
        <v>18</v>
      </c>
      <c r="G153" s="5" t="s">
        <v>16</v>
      </c>
      <c r="H153" s="12">
        <v>1.0</v>
      </c>
      <c r="I153" s="13" t="s">
        <v>26</v>
      </c>
      <c r="J153" s="34">
        <v>1.0</v>
      </c>
      <c r="K153" s="16">
        <v>2.0</v>
      </c>
      <c r="L153" s="16">
        <v>0.03</v>
      </c>
      <c r="M153" s="17">
        <v>1.0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2.5" customHeight="1">
      <c r="A154" s="5">
        <v>36.0</v>
      </c>
      <c r="B154" s="13" t="s">
        <v>83</v>
      </c>
      <c r="C154" s="13" t="s">
        <v>84</v>
      </c>
      <c r="D154" s="12">
        <v>8.0</v>
      </c>
      <c r="E154" s="12">
        <v>5.0</v>
      </c>
      <c r="F154" s="5" t="s">
        <v>18</v>
      </c>
      <c r="G154" s="5" t="s">
        <v>17</v>
      </c>
      <c r="H154" s="12">
        <v>2.0</v>
      </c>
      <c r="I154" s="21" t="s">
        <v>57</v>
      </c>
      <c r="J154" s="34">
        <v>1.0</v>
      </c>
      <c r="K154" s="16">
        <v>1.0</v>
      </c>
      <c r="L154" s="16">
        <v>0.05</v>
      </c>
      <c r="M154" s="17">
        <v>0.5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2.5" customHeight="1">
      <c r="A155" s="5">
        <v>51.0</v>
      </c>
      <c r="B155" s="13" t="s">
        <v>83</v>
      </c>
      <c r="C155" s="13" t="s">
        <v>84</v>
      </c>
      <c r="D155" s="12">
        <v>8.0</v>
      </c>
      <c r="E155" s="12">
        <v>5.0</v>
      </c>
      <c r="F155" s="5" t="s">
        <v>19</v>
      </c>
      <c r="G155" s="5" t="s">
        <v>16</v>
      </c>
      <c r="H155" s="12">
        <v>4.0</v>
      </c>
      <c r="I155" s="21" t="s">
        <v>45</v>
      </c>
      <c r="J155" s="34">
        <v>0.9889</v>
      </c>
      <c r="K155" s="10">
        <v>3.0</v>
      </c>
      <c r="L155" s="10">
        <v>0.29</v>
      </c>
      <c r="M155" s="11">
        <v>1.0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2.5" customHeight="1">
      <c r="A156" s="5">
        <v>55.0</v>
      </c>
      <c r="B156" s="13" t="s">
        <v>83</v>
      </c>
      <c r="C156" s="13" t="s">
        <v>84</v>
      </c>
      <c r="D156" s="12">
        <v>8.0</v>
      </c>
      <c r="E156" s="12">
        <v>5.0</v>
      </c>
      <c r="F156" s="5" t="s">
        <v>19</v>
      </c>
      <c r="G156" s="5" t="s">
        <v>17</v>
      </c>
      <c r="H156" s="12">
        <v>4.0</v>
      </c>
      <c r="I156" s="21" t="s">
        <v>85</v>
      </c>
      <c r="J156" s="34">
        <v>0.9889</v>
      </c>
      <c r="K156" s="10">
        <v>3.0</v>
      </c>
      <c r="L156" s="10">
        <v>5.89</v>
      </c>
      <c r="M156" s="11">
        <v>1.0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2.5" customHeight="1">
      <c r="A157" s="5">
        <v>5.0</v>
      </c>
      <c r="B157" s="13" t="s">
        <v>83</v>
      </c>
      <c r="C157" s="13" t="s">
        <v>84</v>
      </c>
      <c r="D157" s="12">
        <v>8.0</v>
      </c>
      <c r="E157" s="12">
        <v>5.0</v>
      </c>
      <c r="F157" s="5" t="s">
        <v>20</v>
      </c>
      <c r="G157" s="5" t="s">
        <v>16</v>
      </c>
      <c r="H157" s="12">
        <v>1.0</v>
      </c>
      <c r="I157" s="13" t="s">
        <v>26</v>
      </c>
      <c r="J157" s="34">
        <v>1.0</v>
      </c>
      <c r="K157" s="16">
        <v>1.0</v>
      </c>
      <c r="L157" s="16">
        <v>0.07</v>
      </c>
      <c r="M157" s="17">
        <v>1.0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2.5" customHeight="1">
      <c r="A158" s="5">
        <v>15.0</v>
      </c>
      <c r="B158" s="13" t="s">
        <v>83</v>
      </c>
      <c r="C158" s="13" t="s">
        <v>84</v>
      </c>
      <c r="D158" s="12">
        <v>8.0</v>
      </c>
      <c r="E158" s="12">
        <v>5.0</v>
      </c>
      <c r="F158" s="5" t="s">
        <v>20</v>
      </c>
      <c r="G158" s="5" t="s">
        <v>17</v>
      </c>
      <c r="H158" s="12">
        <v>1.0</v>
      </c>
      <c r="I158" s="13" t="s">
        <v>26</v>
      </c>
      <c r="J158" s="34">
        <v>1.0</v>
      </c>
      <c r="K158" s="16">
        <v>1.0</v>
      </c>
      <c r="L158" s="16">
        <v>0.14</v>
      </c>
      <c r="M158" s="17">
        <v>1.0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2.5" customHeight="1">
      <c r="A159" s="5">
        <v>234.0</v>
      </c>
      <c r="B159" s="24" t="s">
        <v>86</v>
      </c>
      <c r="C159" s="24" t="s">
        <v>87</v>
      </c>
      <c r="D159" s="25">
        <v>35.0</v>
      </c>
      <c r="E159" s="25">
        <v>22.0</v>
      </c>
      <c r="F159" s="5" t="s">
        <v>15</v>
      </c>
      <c r="G159" s="5" t="s">
        <v>16</v>
      </c>
      <c r="H159" s="25">
        <v>2.0</v>
      </c>
      <c r="I159" s="26">
        <v>0.156</v>
      </c>
      <c r="J159" s="9">
        <v>1.0</v>
      </c>
      <c r="K159" s="10">
        <v>8.0</v>
      </c>
      <c r="L159" s="10">
        <v>19.84</v>
      </c>
      <c r="M159" s="11">
        <v>1.0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2.5" customHeight="1">
      <c r="A160" s="5">
        <v>259.0</v>
      </c>
      <c r="B160" s="24" t="s">
        <v>86</v>
      </c>
      <c r="C160" s="24" t="s">
        <v>87</v>
      </c>
      <c r="D160" s="25">
        <v>35.0</v>
      </c>
      <c r="E160" s="25">
        <v>22.0</v>
      </c>
      <c r="F160" s="5" t="s">
        <v>15</v>
      </c>
      <c r="G160" s="5" t="s">
        <v>17</v>
      </c>
      <c r="H160" s="12">
        <v>2.0</v>
      </c>
      <c r="I160" s="13">
        <v>5.54</v>
      </c>
      <c r="J160" s="9">
        <v>1.0</v>
      </c>
      <c r="K160" s="10">
        <v>7.0</v>
      </c>
      <c r="L160" s="10">
        <v>67.96</v>
      </c>
      <c r="M160" s="11">
        <v>1.0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2.5" customHeight="1">
      <c r="A161" s="5">
        <v>84.0</v>
      </c>
      <c r="B161" s="13" t="s">
        <v>86</v>
      </c>
      <c r="C161" s="24" t="s">
        <v>87</v>
      </c>
      <c r="D161" s="12">
        <v>35.0</v>
      </c>
      <c r="E161" s="12">
        <v>22.0</v>
      </c>
      <c r="F161" s="5" t="s">
        <v>18</v>
      </c>
      <c r="G161" s="5" t="s">
        <v>16</v>
      </c>
      <c r="H161" s="12">
        <v>2.0</v>
      </c>
      <c r="I161" s="13">
        <v>0.156</v>
      </c>
      <c r="J161" s="30">
        <v>0.2595</v>
      </c>
      <c r="K161" s="16">
        <v>29.0</v>
      </c>
      <c r="L161" s="16">
        <v>173.84</v>
      </c>
      <c r="M161" s="17">
        <v>0.626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2.5" customHeight="1">
      <c r="A162" s="5">
        <v>109.0</v>
      </c>
      <c r="B162" s="13" t="s">
        <v>86</v>
      </c>
      <c r="C162" s="24" t="s">
        <v>87</v>
      </c>
      <c r="D162" s="12">
        <v>35.0</v>
      </c>
      <c r="E162" s="12">
        <v>22.0</v>
      </c>
      <c r="F162" s="5" t="s">
        <v>18</v>
      </c>
      <c r="G162" s="5" t="s">
        <v>17</v>
      </c>
      <c r="H162" s="25">
        <v>2.0</v>
      </c>
      <c r="I162" s="18">
        <v>5.54</v>
      </c>
      <c r="J162" s="30">
        <v>0.0458</v>
      </c>
      <c r="K162" s="16">
        <v>33.0</v>
      </c>
      <c r="L162" s="16">
        <v>460.29</v>
      </c>
      <c r="M162" s="17">
        <v>0.6947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2.5" customHeight="1">
      <c r="A163" s="5">
        <v>184.0</v>
      </c>
      <c r="B163" s="24" t="s">
        <v>86</v>
      </c>
      <c r="C163" s="24" t="s">
        <v>87</v>
      </c>
      <c r="D163" s="25">
        <v>35.0</v>
      </c>
      <c r="E163" s="25">
        <v>22.0</v>
      </c>
      <c r="F163" s="5" t="s">
        <v>19</v>
      </c>
      <c r="G163" s="5" t="s">
        <v>16</v>
      </c>
      <c r="H163" s="25">
        <v>2.0</v>
      </c>
      <c r="I163" s="26">
        <v>0.156</v>
      </c>
      <c r="J163" s="33">
        <v>1.0</v>
      </c>
      <c r="K163" s="10">
        <v>3.0</v>
      </c>
      <c r="L163" s="10">
        <v>27.32</v>
      </c>
      <c r="M163" s="11">
        <v>1.0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2.5" customHeight="1">
      <c r="A164" s="5">
        <v>209.0</v>
      </c>
      <c r="B164" s="24" t="s">
        <v>86</v>
      </c>
      <c r="C164" s="24" t="s">
        <v>87</v>
      </c>
      <c r="D164" s="25">
        <v>35.0</v>
      </c>
      <c r="E164" s="25">
        <v>22.0</v>
      </c>
      <c r="F164" s="5" t="s">
        <v>19</v>
      </c>
      <c r="G164" s="5" t="s">
        <v>17</v>
      </c>
      <c r="H164" s="12">
        <v>2.0</v>
      </c>
      <c r="I164" s="13">
        <v>5.54</v>
      </c>
      <c r="J164" s="9">
        <v>1.0</v>
      </c>
      <c r="K164" s="10">
        <v>5.0</v>
      </c>
      <c r="L164" s="10">
        <v>295.77</v>
      </c>
      <c r="M164" s="11">
        <v>1.0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2.5" customHeight="1">
      <c r="A165" s="5">
        <v>134.0</v>
      </c>
      <c r="B165" s="24" t="s">
        <v>86</v>
      </c>
      <c r="C165" s="24" t="s">
        <v>87</v>
      </c>
      <c r="D165" s="25">
        <v>35.0</v>
      </c>
      <c r="E165" s="25">
        <v>22.0</v>
      </c>
      <c r="F165" s="5" t="s">
        <v>20</v>
      </c>
      <c r="G165" s="5" t="s">
        <v>16</v>
      </c>
      <c r="H165" s="25">
        <v>2.0</v>
      </c>
      <c r="I165" s="26">
        <v>0.156</v>
      </c>
      <c r="J165" s="33">
        <v>0.2595</v>
      </c>
      <c r="K165" s="16">
        <v>11.0</v>
      </c>
      <c r="L165" s="16">
        <v>37.77</v>
      </c>
      <c r="M165" s="17">
        <v>0.7429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2.5" customHeight="1">
      <c r="A166" s="5">
        <v>159.0</v>
      </c>
      <c r="B166" s="24" t="s">
        <v>86</v>
      </c>
      <c r="C166" s="24" t="s">
        <v>87</v>
      </c>
      <c r="D166" s="25">
        <v>35.0</v>
      </c>
      <c r="E166" s="25">
        <v>22.0</v>
      </c>
      <c r="F166" s="5" t="s">
        <v>20</v>
      </c>
      <c r="G166" s="5" t="s">
        <v>17</v>
      </c>
      <c r="H166" s="25">
        <v>2.0</v>
      </c>
      <c r="I166" s="26">
        <v>5.54</v>
      </c>
      <c r="J166" s="33">
        <v>0.0458</v>
      </c>
      <c r="K166" s="16">
        <v>14.0</v>
      </c>
      <c r="L166" s="16">
        <v>68.91</v>
      </c>
      <c r="M166" s="17">
        <v>1.0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2.5" customHeight="1">
      <c r="A167" s="5">
        <v>57.0</v>
      </c>
      <c r="B167" s="13" t="s">
        <v>88</v>
      </c>
      <c r="C167" s="13" t="s">
        <v>89</v>
      </c>
      <c r="D167" s="12">
        <v>109.0</v>
      </c>
      <c r="E167" s="12">
        <v>30.0</v>
      </c>
      <c r="F167" s="5" t="s">
        <v>21</v>
      </c>
      <c r="G167" s="5" t="s">
        <v>16</v>
      </c>
      <c r="H167" s="12">
        <v>2.0</v>
      </c>
      <c r="I167" s="21" t="s">
        <v>90</v>
      </c>
      <c r="J167" s="34">
        <v>1.0</v>
      </c>
      <c r="K167" s="22"/>
      <c r="L167" s="22"/>
      <c r="M167" s="2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2.5" customHeight="1">
      <c r="A168" s="5">
        <v>58.0</v>
      </c>
      <c r="B168" s="13" t="s">
        <v>91</v>
      </c>
      <c r="C168" s="13" t="s">
        <v>89</v>
      </c>
      <c r="D168" s="12">
        <v>48.0</v>
      </c>
      <c r="E168" s="12">
        <v>20.0</v>
      </c>
      <c r="F168" s="5" t="s">
        <v>21</v>
      </c>
      <c r="G168" s="5" t="s">
        <v>16</v>
      </c>
      <c r="H168" s="12">
        <v>3.0</v>
      </c>
      <c r="I168" s="21" t="s">
        <v>92</v>
      </c>
      <c r="J168" s="34">
        <v>1.0</v>
      </c>
      <c r="K168" s="22"/>
      <c r="L168" s="22"/>
      <c r="M168" s="2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2.5" customHeight="1">
      <c r="A169" s="5">
        <v>62.0</v>
      </c>
      <c r="B169" s="13" t="s">
        <v>93</v>
      </c>
      <c r="C169" s="13" t="s">
        <v>89</v>
      </c>
      <c r="D169" s="12">
        <v>1427.0</v>
      </c>
      <c r="E169" s="12">
        <v>7.0</v>
      </c>
      <c r="F169" s="5" t="s">
        <v>21</v>
      </c>
      <c r="G169" s="5" t="s">
        <v>16</v>
      </c>
      <c r="H169" s="12">
        <v>7.0</v>
      </c>
      <c r="I169" s="21" t="s">
        <v>94</v>
      </c>
      <c r="J169" s="34">
        <v>0.98</v>
      </c>
      <c r="K169" s="22"/>
      <c r="L169" s="22"/>
      <c r="M169" s="2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2.5" customHeight="1">
      <c r="A170" s="5">
        <v>63.0</v>
      </c>
      <c r="B170" s="13" t="s">
        <v>88</v>
      </c>
      <c r="C170" s="13" t="s">
        <v>89</v>
      </c>
      <c r="D170" s="12">
        <v>109.0</v>
      </c>
      <c r="E170" s="12">
        <v>30.0</v>
      </c>
      <c r="F170" s="5" t="s">
        <v>21</v>
      </c>
      <c r="G170" s="5" t="s">
        <v>17</v>
      </c>
      <c r="H170" s="12">
        <v>20.0</v>
      </c>
      <c r="I170" s="21" t="s">
        <v>95</v>
      </c>
      <c r="J170" s="34">
        <v>0.717</v>
      </c>
      <c r="K170" s="22"/>
      <c r="L170" s="22"/>
      <c r="M170" s="2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2.5" customHeight="1">
      <c r="A171" s="5">
        <v>64.0</v>
      </c>
      <c r="B171" s="13" t="s">
        <v>91</v>
      </c>
      <c r="C171" s="13" t="s">
        <v>89</v>
      </c>
      <c r="D171" s="12">
        <v>48.0</v>
      </c>
      <c r="E171" s="12">
        <v>20.0</v>
      </c>
      <c r="F171" s="5" t="s">
        <v>21</v>
      </c>
      <c r="G171" s="5" t="s">
        <v>17</v>
      </c>
      <c r="H171" s="12">
        <v>10.0</v>
      </c>
      <c r="I171" s="21" t="s">
        <v>96</v>
      </c>
      <c r="J171" s="34">
        <v>0.0131</v>
      </c>
      <c r="K171" s="22"/>
      <c r="L171" s="22"/>
      <c r="M171" s="2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2.5" customHeight="1">
      <c r="A172" s="5">
        <v>68.0</v>
      </c>
      <c r="B172" s="13" t="s">
        <v>93</v>
      </c>
      <c r="C172" s="13" t="s">
        <v>89</v>
      </c>
      <c r="D172" s="12">
        <v>1427.0</v>
      </c>
      <c r="E172" s="12">
        <v>7.0</v>
      </c>
      <c r="F172" s="5" t="s">
        <v>21</v>
      </c>
      <c r="G172" s="5" t="s">
        <v>17</v>
      </c>
      <c r="H172" s="12">
        <v>7.0</v>
      </c>
      <c r="I172" s="21" t="s">
        <v>97</v>
      </c>
      <c r="J172" s="34">
        <v>0.969</v>
      </c>
      <c r="K172" s="22"/>
      <c r="L172" s="22"/>
      <c r="M172" s="2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2.5" customHeight="1">
      <c r="A173" s="5">
        <v>235.0</v>
      </c>
      <c r="B173" s="6" t="s">
        <v>98</v>
      </c>
      <c r="C173" s="6" t="s">
        <v>99</v>
      </c>
      <c r="D173" s="7">
        <v>11.0</v>
      </c>
      <c r="E173" s="7">
        <v>5.0</v>
      </c>
      <c r="F173" s="5" t="s">
        <v>15</v>
      </c>
      <c r="G173" s="5" t="s">
        <v>16</v>
      </c>
      <c r="H173" s="7">
        <v>3.0</v>
      </c>
      <c r="I173" s="8" t="s">
        <v>26</v>
      </c>
      <c r="J173" s="9">
        <v>1.0</v>
      </c>
      <c r="K173" s="10">
        <v>2.0</v>
      </c>
      <c r="L173" s="10">
        <v>0.37</v>
      </c>
      <c r="M173" s="11">
        <v>1.0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2.5" customHeight="1">
      <c r="A174" s="5">
        <v>260.0</v>
      </c>
      <c r="B174" s="6" t="s">
        <v>98</v>
      </c>
      <c r="C174" s="6" t="s">
        <v>99</v>
      </c>
      <c r="D174" s="7">
        <v>11.0</v>
      </c>
      <c r="E174" s="7">
        <v>5.0</v>
      </c>
      <c r="F174" s="5" t="s">
        <v>15</v>
      </c>
      <c r="G174" s="5" t="s">
        <v>17</v>
      </c>
      <c r="H174" s="12">
        <v>3.0</v>
      </c>
      <c r="I174" s="13" t="s">
        <v>26</v>
      </c>
      <c r="J174" s="9">
        <v>1.0</v>
      </c>
      <c r="K174" s="10">
        <v>2.0</v>
      </c>
      <c r="L174" s="10">
        <v>0.06</v>
      </c>
      <c r="M174" s="11">
        <v>1.0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2.5" customHeight="1">
      <c r="A175" s="5">
        <v>27.0</v>
      </c>
      <c r="B175" s="13" t="s">
        <v>100</v>
      </c>
      <c r="C175" s="13" t="s">
        <v>99</v>
      </c>
      <c r="D175" s="12">
        <v>11.0</v>
      </c>
      <c r="E175" s="12">
        <v>5.0</v>
      </c>
      <c r="F175" s="5" t="s">
        <v>18</v>
      </c>
      <c r="G175" s="5" t="s">
        <v>16</v>
      </c>
      <c r="H175" s="12">
        <v>3.0</v>
      </c>
      <c r="I175" s="13" t="s">
        <v>26</v>
      </c>
      <c r="J175" s="34">
        <v>1.0</v>
      </c>
      <c r="K175" s="16">
        <v>4.0</v>
      </c>
      <c r="L175" s="16">
        <v>0.12</v>
      </c>
      <c r="M175" s="17">
        <v>1.0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2.5" customHeight="1">
      <c r="A176" s="5">
        <v>37.0</v>
      </c>
      <c r="B176" s="13" t="s">
        <v>100</v>
      </c>
      <c r="C176" s="13" t="s">
        <v>99</v>
      </c>
      <c r="D176" s="12">
        <v>11.0</v>
      </c>
      <c r="E176" s="12">
        <v>5.0</v>
      </c>
      <c r="F176" s="5" t="s">
        <v>18</v>
      </c>
      <c r="G176" s="5" t="s">
        <v>17</v>
      </c>
      <c r="H176" s="12">
        <v>3.0</v>
      </c>
      <c r="I176" s="21" t="s">
        <v>27</v>
      </c>
      <c r="J176" s="34">
        <v>1.0</v>
      </c>
      <c r="K176" s="16">
        <v>8.0</v>
      </c>
      <c r="L176" s="16">
        <v>2.93</v>
      </c>
      <c r="M176" s="17">
        <v>1.0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2.5" customHeight="1">
      <c r="A177" s="5">
        <v>85.0</v>
      </c>
      <c r="B177" s="13" t="s">
        <v>98</v>
      </c>
      <c r="C177" s="6" t="s">
        <v>99</v>
      </c>
      <c r="D177" s="12">
        <v>11.0</v>
      </c>
      <c r="E177" s="12">
        <v>5.0</v>
      </c>
      <c r="F177" s="5" t="s">
        <v>18</v>
      </c>
      <c r="G177" s="5" t="s">
        <v>16</v>
      </c>
      <c r="H177" s="12">
        <v>3.0</v>
      </c>
      <c r="I177" s="13" t="s">
        <v>26</v>
      </c>
      <c r="J177" s="30">
        <v>1.0</v>
      </c>
      <c r="M177" s="2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2.5" customHeight="1">
      <c r="A178" s="5">
        <v>110.0</v>
      </c>
      <c r="B178" s="13" t="s">
        <v>98</v>
      </c>
      <c r="C178" s="6" t="s">
        <v>99</v>
      </c>
      <c r="D178" s="12">
        <v>11.0</v>
      </c>
      <c r="E178" s="12">
        <v>5.0</v>
      </c>
      <c r="F178" s="5" t="s">
        <v>18</v>
      </c>
      <c r="G178" s="5" t="s">
        <v>17</v>
      </c>
      <c r="H178" s="7">
        <v>3.0</v>
      </c>
      <c r="I178" s="18" t="s">
        <v>26</v>
      </c>
      <c r="J178" s="30">
        <v>1.0</v>
      </c>
      <c r="M178" s="2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2.5" customHeight="1">
      <c r="A179" s="5">
        <v>185.0</v>
      </c>
      <c r="B179" s="6" t="s">
        <v>98</v>
      </c>
      <c r="C179" s="6" t="s">
        <v>99</v>
      </c>
      <c r="D179" s="7">
        <v>11.0</v>
      </c>
      <c r="E179" s="7">
        <v>5.0</v>
      </c>
      <c r="F179" s="5" t="s">
        <v>19</v>
      </c>
      <c r="G179" s="5" t="s">
        <v>16</v>
      </c>
      <c r="H179" s="7">
        <v>3.0</v>
      </c>
      <c r="I179" s="8" t="s">
        <v>26</v>
      </c>
      <c r="J179" s="9">
        <v>1.0</v>
      </c>
      <c r="K179" s="10">
        <v>4.0</v>
      </c>
      <c r="L179" s="10">
        <v>0.47</v>
      </c>
      <c r="M179" s="11">
        <v>1.0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2.5" customHeight="1">
      <c r="A180" s="5">
        <v>210.0</v>
      </c>
      <c r="B180" s="6" t="s">
        <v>98</v>
      </c>
      <c r="C180" s="6" t="s">
        <v>99</v>
      </c>
      <c r="D180" s="7">
        <v>11.0</v>
      </c>
      <c r="E180" s="7">
        <v>5.0</v>
      </c>
      <c r="F180" s="5" t="s">
        <v>19</v>
      </c>
      <c r="G180" s="5" t="s">
        <v>17</v>
      </c>
      <c r="H180" s="12">
        <v>3.0</v>
      </c>
      <c r="I180" s="13" t="s">
        <v>26</v>
      </c>
      <c r="J180" s="9">
        <v>1.0</v>
      </c>
      <c r="M180" s="2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2.5" customHeight="1">
      <c r="A181" s="5">
        <v>135.0</v>
      </c>
      <c r="B181" s="6" t="s">
        <v>98</v>
      </c>
      <c r="C181" s="6" t="s">
        <v>99</v>
      </c>
      <c r="D181" s="7">
        <v>11.0</v>
      </c>
      <c r="E181" s="7">
        <v>5.0</v>
      </c>
      <c r="F181" s="5" t="s">
        <v>20</v>
      </c>
      <c r="G181" s="5" t="s">
        <v>16</v>
      </c>
      <c r="H181" s="7">
        <v>3.0</v>
      </c>
      <c r="I181" s="8" t="s">
        <v>26</v>
      </c>
      <c r="J181" s="9">
        <v>1.0</v>
      </c>
      <c r="K181" s="16">
        <v>3.0</v>
      </c>
      <c r="L181" s="16">
        <v>0.31</v>
      </c>
      <c r="M181" s="17">
        <v>1.0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2.5" customHeight="1">
      <c r="A182" s="5">
        <v>160.0</v>
      </c>
      <c r="B182" s="6" t="s">
        <v>98</v>
      </c>
      <c r="C182" s="6" t="s">
        <v>99</v>
      </c>
      <c r="D182" s="7">
        <v>11.0</v>
      </c>
      <c r="E182" s="7">
        <v>5.0</v>
      </c>
      <c r="F182" s="5" t="s">
        <v>20</v>
      </c>
      <c r="G182" s="5" t="s">
        <v>17</v>
      </c>
      <c r="H182" s="7">
        <v>3.0</v>
      </c>
      <c r="I182" s="8" t="s">
        <v>26</v>
      </c>
      <c r="J182" s="9">
        <v>1.0</v>
      </c>
      <c r="K182" s="16">
        <v>2.0</v>
      </c>
      <c r="L182" s="16">
        <v>0.23</v>
      </c>
      <c r="M182" s="17">
        <v>1.0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2.5" customHeight="1">
      <c r="A183" s="5">
        <v>41.0</v>
      </c>
      <c r="B183" s="13" t="s">
        <v>101</v>
      </c>
      <c r="C183" s="13" t="s">
        <v>102</v>
      </c>
      <c r="D183" s="12">
        <v>28.0</v>
      </c>
      <c r="E183" s="12">
        <v>15.0</v>
      </c>
      <c r="F183" s="5" t="s">
        <v>15</v>
      </c>
      <c r="G183" s="5" t="s">
        <v>16</v>
      </c>
      <c r="H183" s="12">
        <v>4.0</v>
      </c>
      <c r="I183" s="13" t="s">
        <v>26</v>
      </c>
      <c r="J183" s="34">
        <v>1.0</v>
      </c>
      <c r="K183" s="10">
        <v>2.0</v>
      </c>
      <c r="L183" s="10">
        <v>0.13</v>
      </c>
      <c r="M183" s="11">
        <v>1.0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2.5" customHeight="1">
      <c r="A184" s="5">
        <v>45.0</v>
      </c>
      <c r="B184" s="13" t="s">
        <v>101</v>
      </c>
      <c r="C184" s="13" t="s">
        <v>102</v>
      </c>
      <c r="D184" s="12">
        <v>28.0</v>
      </c>
      <c r="E184" s="12">
        <v>15.0</v>
      </c>
      <c r="F184" s="5" t="s">
        <v>15</v>
      </c>
      <c r="G184" s="5" t="s">
        <v>17</v>
      </c>
      <c r="H184" s="12">
        <v>3.0</v>
      </c>
      <c r="I184" s="21" t="s">
        <v>27</v>
      </c>
      <c r="J184" s="34">
        <v>1.0</v>
      </c>
      <c r="K184" s="10">
        <v>2.0</v>
      </c>
      <c r="L184" s="10">
        <v>0.04</v>
      </c>
      <c r="M184" s="11">
        <v>1.0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2.5" customHeight="1">
      <c r="A185" s="5">
        <v>28.0</v>
      </c>
      <c r="B185" s="13" t="s">
        <v>101</v>
      </c>
      <c r="C185" s="13" t="s">
        <v>102</v>
      </c>
      <c r="D185" s="12">
        <v>4.0</v>
      </c>
      <c r="E185" s="12">
        <v>4.0</v>
      </c>
      <c r="F185" s="5" t="s">
        <v>18</v>
      </c>
      <c r="G185" s="5" t="s">
        <v>16</v>
      </c>
      <c r="H185" s="12">
        <v>2.0</v>
      </c>
      <c r="I185" s="21" t="s">
        <v>27</v>
      </c>
      <c r="J185" s="34">
        <v>1.0</v>
      </c>
      <c r="K185" s="16">
        <v>3.0</v>
      </c>
      <c r="L185" s="16">
        <v>0.03</v>
      </c>
      <c r="M185" s="17">
        <v>1.0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2.5" customHeight="1">
      <c r="A186" s="5">
        <v>38.0</v>
      </c>
      <c r="B186" s="13" t="s">
        <v>101</v>
      </c>
      <c r="C186" s="13" t="s">
        <v>102</v>
      </c>
      <c r="D186" s="12">
        <v>4.0</v>
      </c>
      <c r="E186" s="12">
        <v>4.0</v>
      </c>
      <c r="F186" s="5" t="s">
        <v>18</v>
      </c>
      <c r="G186" s="5" t="s">
        <v>17</v>
      </c>
      <c r="H186" s="12">
        <v>2.0</v>
      </c>
      <c r="I186" s="21" t="s">
        <v>57</v>
      </c>
      <c r="J186" s="34">
        <v>1.0</v>
      </c>
      <c r="K186" s="16">
        <v>3.0</v>
      </c>
      <c r="L186" s="16">
        <v>0.12</v>
      </c>
      <c r="M186" s="17">
        <v>1.0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2.5" customHeight="1">
      <c r="A187" s="5">
        <v>52.0</v>
      </c>
      <c r="B187" s="13" t="s">
        <v>101</v>
      </c>
      <c r="C187" s="13" t="s">
        <v>102</v>
      </c>
      <c r="D187" s="12">
        <v>4.0</v>
      </c>
      <c r="E187" s="12">
        <v>4.0</v>
      </c>
      <c r="F187" s="5" t="s">
        <v>19</v>
      </c>
      <c r="G187" s="5" t="s">
        <v>16</v>
      </c>
      <c r="H187" s="12">
        <v>3.0</v>
      </c>
      <c r="I187" s="13" t="s">
        <v>26</v>
      </c>
      <c r="J187" s="34">
        <v>0.975</v>
      </c>
      <c r="K187" s="10">
        <v>3.0</v>
      </c>
      <c r="L187" s="10">
        <v>0.1</v>
      </c>
      <c r="M187" s="11">
        <v>1.0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2.5" customHeight="1">
      <c r="A188" s="5">
        <v>56.0</v>
      </c>
      <c r="B188" s="13" t="s">
        <v>101</v>
      </c>
      <c r="C188" s="13" t="s">
        <v>102</v>
      </c>
      <c r="D188" s="12">
        <v>4.0</v>
      </c>
      <c r="E188" s="12">
        <v>4.0</v>
      </c>
      <c r="F188" s="5" t="s">
        <v>19</v>
      </c>
      <c r="G188" s="5" t="s">
        <v>17</v>
      </c>
      <c r="H188" s="12">
        <v>4.0</v>
      </c>
      <c r="I188" s="21" t="s">
        <v>103</v>
      </c>
      <c r="J188" s="34">
        <v>0.975</v>
      </c>
      <c r="K188" s="10">
        <v>3.0</v>
      </c>
      <c r="L188" s="10">
        <v>2.8</v>
      </c>
      <c r="M188" s="11">
        <v>1.0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2.5" customHeight="1">
      <c r="A189" s="5">
        <v>6.0</v>
      </c>
      <c r="B189" s="13" t="s">
        <v>101</v>
      </c>
      <c r="C189" s="13" t="s">
        <v>102</v>
      </c>
      <c r="D189" s="12">
        <v>4.0</v>
      </c>
      <c r="E189" s="12">
        <v>4.0</v>
      </c>
      <c r="F189" s="5" t="s">
        <v>20</v>
      </c>
      <c r="G189" s="5" t="s">
        <v>16</v>
      </c>
      <c r="H189" s="12">
        <v>2.0</v>
      </c>
      <c r="I189" s="13" t="s">
        <v>26</v>
      </c>
      <c r="J189" s="34">
        <v>1.0</v>
      </c>
      <c r="K189" s="16">
        <v>2.0</v>
      </c>
      <c r="L189" s="16">
        <v>0.03</v>
      </c>
      <c r="M189" s="17">
        <v>1.0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2.5" customHeight="1">
      <c r="A190" s="5">
        <v>16.0</v>
      </c>
      <c r="B190" s="13" t="s">
        <v>101</v>
      </c>
      <c r="C190" s="13" t="s">
        <v>102</v>
      </c>
      <c r="D190" s="12">
        <v>4.0</v>
      </c>
      <c r="E190" s="12">
        <v>4.0</v>
      </c>
      <c r="F190" s="5" t="s">
        <v>20</v>
      </c>
      <c r="G190" s="5" t="s">
        <v>17</v>
      </c>
      <c r="H190" s="12">
        <v>3.0</v>
      </c>
      <c r="I190" s="13" t="s">
        <v>26</v>
      </c>
      <c r="J190" s="34">
        <v>1.0</v>
      </c>
      <c r="K190" s="16">
        <v>2.0</v>
      </c>
      <c r="L190" s="16">
        <v>0.05</v>
      </c>
      <c r="M190" s="17">
        <v>1.0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2.5" customHeight="1">
      <c r="A191" s="5">
        <v>236.0</v>
      </c>
      <c r="B191" s="24" t="s">
        <v>104</v>
      </c>
      <c r="C191" s="24" t="s">
        <v>105</v>
      </c>
      <c r="D191" s="25">
        <v>28.0</v>
      </c>
      <c r="E191" s="25">
        <v>7.0</v>
      </c>
      <c r="F191" s="5" t="s">
        <v>15</v>
      </c>
      <c r="G191" s="5" t="s">
        <v>16</v>
      </c>
      <c r="H191" s="25">
        <v>5.0</v>
      </c>
      <c r="I191" s="26">
        <v>0.015</v>
      </c>
      <c r="J191" s="9">
        <v>1.0</v>
      </c>
      <c r="K191" s="10">
        <v>2.0</v>
      </c>
      <c r="L191" s="10">
        <v>0.64</v>
      </c>
      <c r="M191" s="11">
        <v>1.0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2.5" customHeight="1">
      <c r="A192" s="5">
        <v>261.0</v>
      </c>
      <c r="B192" s="24" t="s">
        <v>104</v>
      </c>
      <c r="C192" s="24" t="s">
        <v>105</v>
      </c>
      <c r="D192" s="25">
        <v>28.0</v>
      </c>
      <c r="E192" s="25">
        <v>7.0</v>
      </c>
      <c r="F192" s="5" t="s">
        <v>15</v>
      </c>
      <c r="G192" s="5" t="s">
        <v>17</v>
      </c>
      <c r="H192" s="12">
        <v>6.0</v>
      </c>
      <c r="I192" s="13">
        <v>0.046</v>
      </c>
      <c r="J192" s="9">
        <v>1.0</v>
      </c>
      <c r="K192" s="10">
        <v>3.0</v>
      </c>
      <c r="L192" s="10">
        <v>0.25</v>
      </c>
      <c r="M192" s="11">
        <v>1.0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2.5" customHeight="1">
      <c r="A193" s="5">
        <v>86.0</v>
      </c>
      <c r="B193" s="13" t="s">
        <v>104</v>
      </c>
      <c r="C193" s="24" t="s">
        <v>105</v>
      </c>
      <c r="D193" s="12">
        <v>28.0</v>
      </c>
      <c r="E193" s="12">
        <v>7.0</v>
      </c>
      <c r="F193" s="5" t="s">
        <v>18</v>
      </c>
      <c r="G193" s="5" t="s">
        <v>16</v>
      </c>
      <c r="H193" s="12">
        <v>5.0</v>
      </c>
      <c r="I193" s="13">
        <v>0.015</v>
      </c>
      <c r="J193" s="30">
        <v>1.0</v>
      </c>
      <c r="K193" s="16">
        <v>11.0</v>
      </c>
      <c r="L193" s="16">
        <v>4.25</v>
      </c>
      <c r="M193" s="17">
        <v>1.0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2.5" customHeight="1">
      <c r="A194" s="5">
        <v>111.0</v>
      </c>
      <c r="B194" s="13" t="s">
        <v>104</v>
      </c>
      <c r="C194" s="24" t="s">
        <v>105</v>
      </c>
      <c r="D194" s="12">
        <v>28.0</v>
      </c>
      <c r="E194" s="12">
        <v>7.0</v>
      </c>
      <c r="F194" s="5" t="s">
        <v>18</v>
      </c>
      <c r="G194" s="5" t="s">
        <v>17</v>
      </c>
      <c r="H194" s="25">
        <v>6.0</v>
      </c>
      <c r="I194" s="18">
        <v>0.046</v>
      </c>
      <c r="J194" s="30">
        <v>1.0</v>
      </c>
      <c r="K194" s="16">
        <v>13.0</v>
      </c>
      <c r="L194" s="16">
        <v>5.02</v>
      </c>
      <c r="M194" s="17">
        <v>1.0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2.5" customHeight="1">
      <c r="A195" s="5">
        <v>186.0</v>
      </c>
      <c r="B195" s="24" t="s">
        <v>104</v>
      </c>
      <c r="C195" s="24" t="s">
        <v>105</v>
      </c>
      <c r="D195" s="25">
        <v>28.0</v>
      </c>
      <c r="E195" s="25">
        <v>7.0</v>
      </c>
      <c r="F195" s="5" t="s">
        <v>19</v>
      </c>
      <c r="G195" s="5" t="s">
        <v>16</v>
      </c>
      <c r="H195" s="25">
        <v>5.0</v>
      </c>
      <c r="I195" s="26">
        <v>0.015</v>
      </c>
      <c r="J195" s="33">
        <v>1.0</v>
      </c>
      <c r="K195" s="10">
        <v>4.0</v>
      </c>
      <c r="L195" s="10">
        <v>2.26</v>
      </c>
      <c r="M195" s="11">
        <v>1.0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2.5" customHeight="1">
      <c r="A196" s="5">
        <v>211.0</v>
      </c>
      <c r="B196" s="24" t="s">
        <v>104</v>
      </c>
      <c r="C196" s="24" t="s">
        <v>105</v>
      </c>
      <c r="D196" s="25">
        <v>28.0</v>
      </c>
      <c r="E196" s="25">
        <v>7.0</v>
      </c>
      <c r="F196" s="5" t="s">
        <v>19</v>
      </c>
      <c r="G196" s="5" t="s">
        <v>17</v>
      </c>
      <c r="H196" s="12">
        <v>6.0</v>
      </c>
      <c r="I196" s="13">
        <v>0.046</v>
      </c>
      <c r="J196" s="9">
        <v>1.0</v>
      </c>
      <c r="K196" s="10">
        <v>4.0</v>
      </c>
      <c r="L196" s="10">
        <v>15.53</v>
      </c>
      <c r="M196" s="11">
        <v>1.0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2.5" customHeight="1">
      <c r="A197" s="5">
        <v>136.0</v>
      </c>
      <c r="B197" s="24" t="s">
        <v>104</v>
      </c>
      <c r="C197" s="24" t="s">
        <v>105</v>
      </c>
      <c r="D197" s="25">
        <v>28.0</v>
      </c>
      <c r="E197" s="25">
        <v>7.0</v>
      </c>
      <c r="F197" s="5" t="s">
        <v>20</v>
      </c>
      <c r="G197" s="5" t="s">
        <v>16</v>
      </c>
      <c r="H197" s="25">
        <v>5.0</v>
      </c>
      <c r="I197" s="26">
        <v>0.015</v>
      </c>
      <c r="J197" s="33">
        <v>1.0</v>
      </c>
      <c r="K197" s="16">
        <v>5.0</v>
      </c>
      <c r="L197" s="16">
        <v>0.24</v>
      </c>
      <c r="M197" s="17">
        <v>1.0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2.5" customHeight="1">
      <c r="A198" s="5">
        <v>161.0</v>
      </c>
      <c r="B198" s="24" t="s">
        <v>104</v>
      </c>
      <c r="C198" s="24" t="s">
        <v>105</v>
      </c>
      <c r="D198" s="25">
        <v>28.0</v>
      </c>
      <c r="E198" s="25">
        <v>7.0</v>
      </c>
      <c r="F198" s="5" t="s">
        <v>20</v>
      </c>
      <c r="G198" s="5" t="s">
        <v>17</v>
      </c>
      <c r="H198" s="25">
        <v>6.0</v>
      </c>
      <c r="I198" s="26">
        <v>0.046</v>
      </c>
      <c r="J198" s="33">
        <v>1.0</v>
      </c>
      <c r="K198" s="16">
        <v>5.0</v>
      </c>
      <c r="L198" s="16">
        <v>1.98</v>
      </c>
      <c r="M198" s="17">
        <v>1.0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2.5" customHeight="1">
      <c r="A199" s="5">
        <v>29.0</v>
      </c>
      <c r="B199" s="13" t="s">
        <v>106</v>
      </c>
      <c r="C199" s="13" t="s">
        <v>107</v>
      </c>
      <c r="D199" s="12">
        <v>28.0</v>
      </c>
      <c r="E199" s="12">
        <v>15.0</v>
      </c>
      <c r="F199" s="5" t="s">
        <v>18</v>
      </c>
      <c r="G199" s="5" t="s">
        <v>16</v>
      </c>
      <c r="H199" s="12">
        <v>5.0</v>
      </c>
      <c r="I199" s="21" t="s">
        <v>81</v>
      </c>
      <c r="J199" s="34">
        <v>1.0</v>
      </c>
      <c r="K199" s="16">
        <v>7.0</v>
      </c>
      <c r="L199" s="16">
        <v>1.1</v>
      </c>
      <c r="M199" s="17">
        <v>1.0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2.5" customHeight="1">
      <c r="A200" s="5">
        <v>39.0</v>
      </c>
      <c r="B200" s="13" t="s">
        <v>106</v>
      </c>
      <c r="C200" s="13" t="s">
        <v>107</v>
      </c>
      <c r="D200" s="12">
        <v>28.0</v>
      </c>
      <c r="E200" s="12">
        <v>15.0</v>
      </c>
      <c r="F200" s="5" t="s">
        <v>18</v>
      </c>
      <c r="G200" s="5" t="s">
        <v>17</v>
      </c>
      <c r="H200" s="12">
        <v>9.0</v>
      </c>
      <c r="I200" s="21" t="s">
        <v>103</v>
      </c>
      <c r="J200" s="34">
        <v>1.0</v>
      </c>
      <c r="K200" s="16">
        <v>8.0</v>
      </c>
      <c r="L200" s="16">
        <v>15.15</v>
      </c>
      <c r="M200" s="17">
        <v>1.0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2.5" customHeight="1">
      <c r="A201" s="5">
        <v>7.0</v>
      </c>
      <c r="B201" s="13" t="s">
        <v>106</v>
      </c>
      <c r="C201" s="13" t="s">
        <v>107</v>
      </c>
      <c r="D201" s="12">
        <v>28.0</v>
      </c>
      <c r="E201" s="12">
        <v>15.0</v>
      </c>
      <c r="F201" s="5" t="s">
        <v>20</v>
      </c>
      <c r="G201" s="5" t="s">
        <v>16</v>
      </c>
      <c r="H201" s="12">
        <v>6.0</v>
      </c>
      <c r="I201" s="21" t="s">
        <v>81</v>
      </c>
      <c r="J201" s="34">
        <v>1.0</v>
      </c>
      <c r="K201" s="16">
        <v>3.0</v>
      </c>
      <c r="L201" s="16">
        <v>0.72</v>
      </c>
      <c r="M201" s="17">
        <v>1.0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2.5" customHeight="1">
      <c r="A202" s="5">
        <v>8.0</v>
      </c>
      <c r="B202" s="13" t="s">
        <v>106</v>
      </c>
      <c r="C202" s="13" t="s">
        <v>107</v>
      </c>
      <c r="D202" s="12">
        <v>28.0</v>
      </c>
      <c r="E202" s="12">
        <v>15.0</v>
      </c>
      <c r="F202" s="5" t="s">
        <v>20</v>
      </c>
      <c r="G202" s="5" t="s">
        <v>16</v>
      </c>
      <c r="H202" s="12">
        <v>5.0</v>
      </c>
      <c r="I202" s="21" t="s">
        <v>81</v>
      </c>
      <c r="J202" s="34">
        <v>1.0</v>
      </c>
      <c r="K202" s="22"/>
      <c r="L202" s="22"/>
      <c r="M202" s="2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2.5" customHeight="1">
      <c r="A203" s="5">
        <v>17.0</v>
      </c>
      <c r="B203" s="13" t="s">
        <v>106</v>
      </c>
      <c r="C203" s="13" t="s">
        <v>107</v>
      </c>
      <c r="D203" s="12">
        <v>28.0</v>
      </c>
      <c r="E203" s="12">
        <v>15.0</v>
      </c>
      <c r="F203" s="5" t="s">
        <v>20</v>
      </c>
      <c r="G203" s="5" t="s">
        <v>17</v>
      </c>
      <c r="H203" s="12">
        <v>4.0</v>
      </c>
      <c r="I203" s="21" t="s">
        <v>108</v>
      </c>
      <c r="J203" s="34">
        <v>1.0</v>
      </c>
      <c r="K203" s="16">
        <v>6.0</v>
      </c>
      <c r="L203" s="16">
        <v>13.17</v>
      </c>
      <c r="M203" s="17">
        <v>1.0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2.5" customHeight="1">
      <c r="A204" s="5">
        <v>18.0</v>
      </c>
      <c r="B204" s="13" t="s">
        <v>106</v>
      </c>
      <c r="C204" s="13" t="s">
        <v>107</v>
      </c>
      <c r="D204" s="12">
        <v>28.0</v>
      </c>
      <c r="E204" s="12">
        <v>15.0</v>
      </c>
      <c r="F204" s="5" t="s">
        <v>20</v>
      </c>
      <c r="G204" s="5" t="s">
        <v>17</v>
      </c>
      <c r="H204" s="12">
        <v>9.0</v>
      </c>
      <c r="I204" s="21" t="s">
        <v>103</v>
      </c>
      <c r="J204" s="34">
        <v>1.0</v>
      </c>
      <c r="K204" s="10"/>
      <c r="L204" s="10"/>
      <c r="M204" s="1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2.5" customHeight="1">
      <c r="A205" s="5">
        <v>237.0</v>
      </c>
      <c r="B205" s="6" t="s">
        <v>109</v>
      </c>
      <c r="C205" s="6" t="s">
        <v>110</v>
      </c>
      <c r="D205" s="7">
        <v>104.0</v>
      </c>
      <c r="E205" s="7">
        <v>34.0</v>
      </c>
      <c r="F205" s="5" t="s">
        <v>15</v>
      </c>
      <c r="G205" s="5" t="s">
        <v>16</v>
      </c>
      <c r="H205" s="7">
        <v>16.0</v>
      </c>
      <c r="I205" s="8">
        <v>1.31</v>
      </c>
      <c r="J205" s="9">
        <v>1.0</v>
      </c>
      <c r="K205" s="10">
        <v>8.0</v>
      </c>
      <c r="L205" s="10">
        <v>89.66</v>
      </c>
      <c r="M205" s="11">
        <v>1.0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2.5" customHeight="1">
      <c r="A206" s="5">
        <v>262.0</v>
      </c>
      <c r="B206" s="6" t="s">
        <v>109</v>
      </c>
      <c r="C206" s="6" t="s">
        <v>110</v>
      </c>
      <c r="D206" s="7">
        <v>104.0</v>
      </c>
      <c r="E206" s="7">
        <v>34.0</v>
      </c>
      <c r="F206" s="5" t="s">
        <v>15</v>
      </c>
      <c r="G206" s="5" t="s">
        <v>17</v>
      </c>
      <c r="H206" s="12">
        <v>21.0</v>
      </c>
      <c r="I206" s="13">
        <v>2.734</v>
      </c>
      <c r="J206" s="9">
        <v>1.0</v>
      </c>
      <c r="M206" s="2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2.5" customHeight="1">
      <c r="A207" s="5">
        <v>87.0</v>
      </c>
      <c r="B207" s="13" t="s">
        <v>109</v>
      </c>
      <c r="C207" s="6" t="s">
        <v>110</v>
      </c>
      <c r="D207" s="12">
        <v>104.0</v>
      </c>
      <c r="E207" s="12">
        <v>34.0</v>
      </c>
      <c r="F207" s="5" t="s">
        <v>18</v>
      </c>
      <c r="G207" s="5" t="s">
        <v>16</v>
      </c>
      <c r="H207" s="12">
        <v>16.0</v>
      </c>
      <c r="I207" s="13">
        <v>1.31</v>
      </c>
      <c r="J207" s="30">
        <v>1.0</v>
      </c>
      <c r="K207" s="16">
        <v>11.0</v>
      </c>
      <c r="L207" s="16">
        <v>9.1</v>
      </c>
      <c r="M207" s="17">
        <v>1.0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2.5" customHeight="1">
      <c r="A208" s="5">
        <v>112.0</v>
      </c>
      <c r="B208" s="13" t="s">
        <v>109</v>
      </c>
      <c r="C208" s="6" t="s">
        <v>110</v>
      </c>
      <c r="D208" s="12">
        <v>104.0</v>
      </c>
      <c r="E208" s="12">
        <v>34.0</v>
      </c>
      <c r="F208" s="5" t="s">
        <v>18</v>
      </c>
      <c r="G208" s="5" t="s">
        <v>17</v>
      </c>
      <c r="H208" s="7">
        <v>21.0</v>
      </c>
      <c r="I208" s="18">
        <v>2.734</v>
      </c>
      <c r="J208" s="30">
        <v>1.0</v>
      </c>
      <c r="K208" s="31"/>
      <c r="L208" s="31"/>
      <c r="M208" s="32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2.5" customHeight="1">
      <c r="A209" s="5">
        <v>187.0</v>
      </c>
      <c r="B209" s="6" t="s">
        <v>109</v>
      </c>
      <c r="C209" s="6" t="s">
        <v>110</v>
      </c>
      <c r="D209" s="7">
        <v>104.0</v>
      </c>
      <c r="E209" s="7">
        <v>34.0</v>
      </c>
      <c r="F209" s="5" t="s">
        <v>19</v>
      </c>
      <c r="G209" s="5" t="s">
        <v>16</v>
      </c>
      <c r="H209" s="7">
        <v>16.0</v>
      </c>
      <c r="I209" s="8">
        <v>1.31</v>
      </c>
      <c r="J209" s="9">
        <v>1.0</v>
      </c>
      <c r="K209" s="29"/>
      <c r="L209" s="29"/>
      <c r="M209" s="1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2.5" customHeight="1">
      <c r="A210" s="5">
        <v>212.0</v>
      </c>
      <c r="B210" s="6" t="s">
        <v>109</v>
      </c>
      <c r="C210" s="6" t="s">
        <v>110</v>
      </c>
      <c r="D210" s="7">
        <v>104.0</v>
      </c>
      <c r="E210" s="7">
        <v>34.0</v>
      </c>
      <c r="F210" s="5" t="s">
        <v>19</v>
      </c>
      <c r="G210" s="5" t="s">
        <v>17</v>
      </c>
      <c r="H210" s="12">
        <v>21.0</v>
      </c>
      <c r="I210" s="13">
        <v>2.734</v>
      </c>
      <c r="J210" s="9">
        <v>1.0</v>
      </c>
      <c r="K210" s="29"/>
      <c r="L210" s="29"/>
      <c r="M210" s="1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2.5" customHeight="1">
      <c r="A211" s="5">
        <v>137.0</v>
      </c>
      <c r="B211" s="6" t="s">
        <v>109</v>
      </c>
      <c r="C211" s="6" t="s">
        <v>110</v>
      </c>
      <c r="D211" s="7">
        <v>104.0</v>
      </c>
      <c r="E211" s="7">
        <v>34.0</v>
      </c>
      <c r="F211" s="5" t="s">
        <v>20</v>
      </c>
      <c r="G211" s="5" t="s">
        <v>16</v>
      </c>
      <c r="H211" s="7">
        <v>16.0</v>
      </c>
      <c r="I211" s="8">
        <v>1.31</v>
      </c>
      <c r="J211" s="9">
        <v>1.0</v>
      </c>
      <c r="K211" s="10">
        <v>6.0</v>
      </c>
      <c r="L211" s="10">
        <v>9.89</v>
      </c>
      <c r="M211" s="11">
        <v>1.0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2.5" customHeight="1">
      <c r="A212" s="5">
        <v>162.0</v>
      </c>
      <c r="B212" s="6" t="s">
        <v>109</v>
      </c>
      <c r="C212" s="6" t="s">
        <v>110</v>
      </c>
      <c r="D212" s="7">
        <v>104.0</v>
      </c>
      <c r="E212" s="7">
        <v>34.0</v>
      </c>
      <c r="F212" s="5" t="s">
        <v>20</v>
      </c>
      <c r="G212" s="5" t="s">
        <v>17</v>
      </c>
      <c r="H212" s="7">
        <v>22.0</v>
      </c>
      <c r="I212" s="8">
        <v>2.921</v>
      </c>
      <c r="J212" s="9">
        <v>1.0</v>
      </c>
      <c r="K212" s="10">
        <v>1.0</v>
      </c>
      <c r="L212" s="10">
        <v>10.42</v>
      </c>
      <c r="M212" s="11">
        <v>1.0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2.5" customHeight="1">
      <c r="A213" s="5">
        <v>238.0</v>
      </c>
      <c r="B213" s="24" t="s">
        <v>111</v>
      </c>
      <c r="C213" s="24" t="s">
        <v>112</v>
      </c>
      <c r="D213" s="25">
        <v>44.0</v>
      </c>
      <c r="E213" s="25">
        <v>17.0</v>
      </c>
      <c r="F213" s="5" t="s">
        <v>15</v>
      </c>
      <c r="G213" s="5" t="s">
        <v>16</v>
      </c>
      <c r="H213" s="25">
        <v>8.0</v>
      </c>
      <c r="I213" s="26">
        <v>10.859</v>
      </c>
      <c r="J213" s="9">
        <v>1.0</v>
      </c>
      <c r="K213" s="16">
        <v>6.0</v>
      </c>
      <c r="L213" s="16">
        <v>8.74</v>
      </c>
      <c r="M213" s="17">
        <v>1.0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2.5" customHeight="1">
      <c r="A214" s="5">
        <v>263.0</v>
      </c>
      <c r="B214" s="24" t="s">
        <v>111</v>
      </c>
      <c r="C214" s="24" t="s">
        <v>112</v>
      </c>
      <c r="D214" s="25">
        <v>44.0</v>
      </c>
      <c r="E214" s="25">
        <v>17.0</v>
      </c>
      <c r="F214" s="5" t="s">
        <v>15</v>
      </c>
      <c r="G214" s="5" t="s">
        <v>17</v>
      </c>
      <c r="H214" s="12">
        <v>8.0</v>
      </c>
      <c r="I214" s="13">
        <v>15.562</v>
      </c>
      <c r="J214" s="9">
        <v>1.0</v>
      </c>
      <c r="K214" s="16">
        <v>5.0</v>
      </c>
      <c r="L214" s="16">
        <v>55.34</v>
      </c>
      <c r="M214" s="17">
        <v>1.0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2.5" customHeight="1">
      <c r="A215" s="5">
        <v>88.0</v>
      </c>
      <c r="B215" s="13" t="s">
        <v>111</v>
      </c>
      <c r="C215" s="24" t="s">
        <v>112</v>
      </c>
      <c r="D215" s="12">
        <v>44.0</v>
      </c>
      <c r="E215" s="12">
        <v>17.0</v>
      </c>
      <c r="F215" s="5" t="s">
        <v>18</v>
      </c>
      <c r="G215" s="5" t="s">
        <v>16</v>
      </c>
      <c r="H215" s="12">
        <v>8.0</v>
      </c>
      <c r="I215" s="13">
        <v>10.859</v>
      </c>
      <c r="J215" s="30">
        <v>0.378</v>
      </c>
      <c r="K215" s="10">
        <v>24.0</v>
      </c>
      <c r="L215" s="10">
        <v>422.2</v>
      </c>
      <c r="M215" s="11">
        <v>0.2018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2.5" customHeight="1">
      <c r="A216" s="5">
        <v>113.0</v>
      </c>
      <c r="B216" s="13" t="s">
        <v>111</v>
      </c>
      <c r="C216" s="24" t="s">
        <v>112</v>
      </c>
      <c r="D216" s="12">
        <v>44.0</v>
      </c>
      <c r="E216" s="12">
        <v>17.0</v>
      </c>
      <c r="F216" s="5" t="s">
        <v>18</v>
      </c>
      <c r="G216" s="5" t="s">
        <v>17</v>
      </c>
      <c r="H216" s="25">
        <v>8.0</v>
      </c>
      <c r="I216" s="18">
        <v>15.562</v>
      </c>
      <c r="J216" s="30">
        <v>0.378</v>
      </c>
      <c r="K216" s="10">
        <v>27.0</v>
      </c>
      <c r="L216" s="10">
        <v>959.91</v>
      </c>
      <c r="M216" s="11">
        <v>0.2446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2.5" customHeight="1">
      <c r="A217" s="5">
        <v>188.0</v>
      </c>
      <c r="B217" s="24" t="s">
        <v>111</v>
      </c>
      <c r="C217" s="24" t="s">
        <v>112</v>
      </c>
      <c r="D217" s="25">
        <v>44.0</v>
      </c>
      <c r="E217" s="25">
        <v>17.0</v>
      </c>
      <c r="F217" s="5" t="s">
        <v>19</v>
      </c>
      <c r="G217" s="5" t="s">
        <v>16</v>
      </c>
      <c r="H217" s="25">
        <v>8.0</v>
      </c>
      <c r="I217" s="26">
        <v>10.859</v>
      </c>
      <c r="J217" s="33">
        <v>1.0</v>
      </c>
      <c r="K217" s="16">
        <v>4.0</v>
      </c>
      <c r="L217" s="16">
        <v>25.15</v>
      </c>
      <c r="M217" s="17">
        <v>1.0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2.5" customHeight="1">
      <c r="A218" s="5">
        <v>213.0</v>
      </c>
      <c r="B218" s="24" t="s">
        <v>111</v>
      </c>
      <c r="C218" s="24" t="s">
        <v>112</v>
      </c>
      <c r="D218" s="25">
        <v>44.0</v>
      </c>
      <c r="E218" s="25">
        <v>17.0</v>
      </c>
      <c r="F218" s="5" t="s">
        <v>19</v>
      </c>
      <c r="G218" s="5" t="s">
        <v>17</v>
      </c>
      <c r="H218" s="12">
        <v>8.0</v>
      </c>
      <c r="I218" s="13">
        <v>15.562</v>
      </c>
      <c r="J218" s="9">
        <v>1.0</v>
      </c>
      <c r="K218" s="16">
        <v>4.0</v>
      </c>
      <c r="L218" s="16">
        <v>355.54</v>
      </c>
      <c r="M218" s="17">
        <v>1.0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2.5" customHeight="1">
      <c r="A219" s="5">
        <v>138.0</v>
      </c>
      <c r="B219" s="24" t="s">
        <v>111</v>
      </c>
      <c r="C219" s="24" t="s">
        <v>112</v>
      </c>
      <c r="D219" s="25">
        <v>44.0</v>
      </c>
      <c r="E219" s="25">
        <v>17.0</v>
      </c>
      <c r="F219" s="5" t="s">
        <v>20</v>
      </c>
      <c r="G219" s="5" t="s">
        <v>16</v>
      </c>
      <c r="H219" s="25">
        <v>8.0</v>
      </c>
      <c r="I219" s="26">
        <v>10.859</v>
      </c>
      <c r="J219" s="33">
        <v>0.378</v>
      </c>
      <c r="K219" s="10">
        <v>6.0</v>
      </c>
      <c r="L219" s="10">
        <v>32.89</v>
      </c>
      <c r="M219" s="11">
        <v>0.4545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2.5" customHeight="1">
      <c r="A220" s="5">
        <v>163.0</v>
      </c>
      <c r="B220" s="24" t="s">
        <v>111</v>
      </c>
      <c r="C220" s="24" t="s">
        <v>112</v>
      </c>
      <c r="D220" s="25">
        <v>44.0</v>
      </c>
      <c r="E220" s="25">
        <v>17.0</v>
      </c>
      <c r="F220" s="5" t="s">
        <v>20</v>
      </c>
      <c r="G220" s="5" t="s">
        <v>17</v>
      </c>
      <c r="H220" s="25">
        <v>8.0</v>
      </c>
      <c r="I220" s="26">
        <v>15.562</v>
      </c>
      <c r="J220" s="33">
        <v>0.378</v>
      </c>
      <c r="K220" s="10">
        <v>9.0</v>
      </c>
      <c r="L220" s="10">
        <v>181.04</v>
      </c>
      <c r="M220" s="11">
        <v>1.0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2.5" customHeight="1">
      <c r="A221" s="5">
        <v>239.0</v>
      </c>
      <c r="B221" s="6" t="s">
        <v>113</v>
      </c>
      <c r="C221" s="6" t="s">
        <v>114</v>
      </c>
      <c r="D221" s="7">
        <v>43.0</v>
      </c>
      <c r="E221" s="7">
        <v>13.0</v>
      </c>
      <c r="F221" s="5" t="s">
        <v>15</v>
      </c>
      <c r="G221" s="5" t="s">
        <v>16</v>
      </c>
      <c r="H221" s="7">
        <v>7.0</v>
      </c>
      <c r="I221" s="8">
        <v>0.265</v>
      </c>
      <c r="J221" s="9">
        <v>1.0</v>
      </c>
      <c r="K221" s="16">
        <v>3.0</v>
      </c>
      <c r="L221" s="16">
        <v>2.95</v>
      </c>
      <c r="M221" s="17">
        <v>1.0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2.5" customHeight="1">
      <c r="A222" s="5">
        <v>264.0</v>
      </c>
      <c r="B222" s="6" t="s">
        <v>113</v>
      </c>
      <c r="C222" s="6" t="s">
        <v>114</v>
      </c>
      <c r="D222" s="7">
        <v>43.0</v>
      </c>
      <c r="E222" s="7">
        <v>13.0</v>
      </c>
      <c r="F222" s="5" t="s">
        <v>15</v>
      </c>
      <c r="G222" s="5" t="s">
        <v>17</v>
      </c>
      <c r="H222" s="12">
        <v>6.0</v>
      </c>
      <c r="I222" s="13">
        <v>0.219</v>
      </c>
      <c r="J222" s="9">
        <v>1.0</v>
      </c>
      <c r="K222" s="16">
        <v>3.0</v>
      </c>
      <c r="L222" s="16">
        <v>20.47</v>
      </c>
      <c r="M222" s="17">
        <v>1.0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2.5" customHeight="1">
      <c r="A223" s="5">
        <v>89.0</v>
      </c>
      <c r="B223" s="13" t="s">
        <v>113</v>
      </c>
      <c r="C223" s="6" t="s">
        <v>114</v>
      </c>
      <c r="D223" s="12">
        <v>43.0</v>
      </c>
      <c r="E223" s="12">
        <v>13.0</v>
      </c>
      <c r="F223" s="5" t="s">
        <v>18</v>
      </c>
      <c r="G223" s="5" t="s">
        <v>16</v>
      </c>
      <c r="H223" s="12">
        <v>7.0</v>
      </c>
      <c r="I223" s="13">
        <v>0.265</v>
      </c>
      <c r="J223" s="30">
        <v>1.0</v>
      </c>
      <c r="K223" s="10">
        <v>15.0</v>
      </c>
      <c r="L223" s="10">
        <v>52.4</v>
      </c>
      <c r="M223" s="11">
        <v>0.9574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2.5" customHeight="1">
      <c r="A224" s="5">
        <v>114.0</v>
      </c>
      <c r="B224" s="13" t="s">
        <v>113</v>
      </c>
      <c r="C224" s="6" t="s">
        <v>114</v>
      </c>
      <c r="D224" s="12">
        <v>43.0</v>
      </c>
      <c r="E224" s="12">
        <v>13.0</v>
      </c>
      <c r="F224" s="5" t="s">
        <v>18</v>
      </c>
      <c r="G224" s="5" t="s">
        <v>17</v>
      </c>
      <c r="H224" s="7">
        <v>6.0</v>
      </c>
      <c r="I224" s="18">
        <v>0.219</v>
      </c>
      <c r="J224" s="30">
        <v>1.0</v>
      </c>
      <c r="K224" s="10">
        <v>18.0</v>
      </c>
      <c r="L224" s="10">
        <v>211.11</v>
      </c>
      <c r="M224" s="11">
        <v>0.9787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2.5" customHeight="1">
      <c r="A225" s="5">
        <v>189.0</v>
      </c>
      <c r="B225" s="6" t="s">
        <v>113</v>
      </c>
      <c r="C225" s="6" t="s">
        <v>114</v>
      </c>
      <c r="D225" s="7">
        <v>43.0</v>
      </c>
      <c r="E225" s="7">
        <v>13.0</v>
      </c>
      <c r="F225" s="5" t="s">
        <v>19</v>
      </c>
      <c r="G225" s="5" t="s">
        <v>16</v>
      </c>
      <c r="H225" s="7">
        <v>7.0</v>
      </c>
      <c r="I225" s="8">
        <v>0.265</v>
      </c>
      <c r="J225" s="9">
        <v>1.0</v>
      </c>
      <c r="K225" s="16">
        <v>7.0</v>
      </c>
      <c r="L225" s="16">
        <v>15.28</v>
      </c>
      <c r="M225" s="17">
        <v>1.0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2.5" customHeight="1">
      <c r="A226" s="5">
        <v>214.0</v>
      </c>
      <c r="B226" s="6" t="s">
        <v>113</v>
      </c>
      <c r="C226" s="6" t="s">
        <v>114</v>
      </c>
      <c r="D226" s="7">
        <v>43.0</v>
      </c>
      <c r="E226" s="7">
        <v>13.0</v>
      </c>
      <c r="F226" s="5" t="s">
        <v>19</v>
      </c>
      <c r="G226" s="5" t="s">
        <v>17</v>
      </c>
      <c r="H226" s="12">
        <v>6.0</v>
      </c>
      <c r="I226" s="13">
        <v>0.219</v>
      </c>
      <c r="J226" s="9">
        <v>1.0</v>
      </c>
      <c r="K226" s="16">
        <v>6.0</v>
      </c>
      <c r="L226" s="16">
        <v>277.53</v>
      </c>
      <c r="M226" s="17">
        <v>1.0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2.5" customHeight="1">
      <c r="A227" s="5">
        <v>139.0</v>
      </c>
      <c r="B227" s="6" t="s">
        <v>113</v>
      </c>
      <c r="C227" s="6" t="s">
        <v>114</v>
      </c>
      <c r="D227" s="7">
        <v>43.0</v>
      </c>
      <c r="E227" s="7">
        <v>13.0</v>
      </c>
      <c r="F227" s="5" t="s">
        <v>20</v>
      </c>
      <c r="G227" s="5" t="s">
        <v>16</v>
      </c>
      <c r="H227" s="7">
        <v>7.0</v>
      </c>
      <c r="I227" s="8">
        <v>0.265</v>
      </c>
      <c r="J227" s="9">
        <v>1.0</v>
      </c>
      <c r="K227" s="10">
        <v>7.0</v>
      </c>
      <c r="L227" s="10">
        <v>2.47</v>
      </c>
      <c r="M227" s="11">
        <v>1.0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2.5" customHeight="1">
      <c r="A228" s="5">
        <v>164.0</v>
      </c>
      <c r="B228" s="6" t="s">
        <v>113</v>
      </c>
      <c r="C228" s="6" t="s">
        <v>114</v>
      </c>
      <c r="D228" s="7">
        <v>43.0</v>
      </c>
      <c r="E228" s="7">
        <v>13.0</v>
      </c>
      <c r="F228" s="5" t="s">
        <v>20</v>
      </c>
      <c r="G228" s="5" t="s">
        <v>17</v>
      </c>
      <c r="H228" s="7">
        <v>6.0</v>
      </c>
      <c r="I228" s="8">
        <v>0.219</v>
      </c>
      <c r="J228" s="9">
        <v>1.0</v>
      </c>
      <c r="K228" s="10">
        <v>8.0</v>
      </c>
      <c r="L228" s="10">
        <v>31.12</v>
      </c>
      <c r="M228" s="11">
        <v>1.0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2.5" customHeight="1">
      <c r="A229" s="5">
        <v>240.0</v>
      </c>
      <c r="B229" s="24" t="s">
        <v>115</v>
      </c>
      <c r="C229" s="24" t="s">
        <v>116</v>
      </c>
      <c r="D229" s="25">
        <v>29.0</v>
      </c>
      <c r="E229" s="25">
        <v>14.0</v>
      </c>
      <c r="F229" s="5" t="s">
        <v>15</v>
      </c>
      <c r="G229" s="5" t="s">
        <v>16</v>
      </c>
      <c r="H229" s="25">
        <v>11.0</v>
      </c>
      <c r="I229" s="26">
        <v>0.062</v>
      </c>
      <c r="J229" s="9">
        <v>1.0</v>
      </c>
      <c r="K229" s="16">
        <v>5.0</v>
      </c>
      <c r="L229" s="16">
        <v>2.87</v>
      </c>
      <c r="M229" s="17">
        <v>1.0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2.5" customHeight="1">
      <c r="A230" s="5">
        <v>265.0</v>
      </c>
      <c r="B230" s="24" t="s">
        <v>115</v>
      </c>
      <c r="C230" s="24" t="s">
        <v>116</v>
      </c>
      <c r="D230" s="25">
        <v>29.0</v>
      </c>
      <c r="E230" s="25">
        <v>14.0</v>
      </c>
      <c r="F230" s="5" t="s">
        <v>15</v>
      </c>
      <c r="G230" s="5" t="s">
        <v>17</v>
      </c>
      <c r="H230" s="12">
        <v>10.0</v>
      </c>
      <c r="I230" s="13">
        <v>0.078</v>
      </c>
      <c r="J230" s="9">
        <v>1.0</v>
      </c>
      <c r="K230" s="16">
        <v>4.0</v>
      </c>
      <c r="L230" s="16">
        <v>20.14</v>
      </c>
      <c r="M230" s="17">
        <v>1.0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2.5" customHeight="1">
      <c r="A231" s="5">
        <v>90.0</v>
      </c>
      <c r="B231" s="13" t="s">
        <v>115</v>
      </c>
      <c r="C231" s="24" t="s">
        <v>116</v>
      </c>
      <c r="D231" s="12">
        <v>29.0</v>
      </c>
      <c r="E231" s="12">
        <v>14.0</v>
      </c>
      <c r="F231" s="5" t="s">
        <v>18</v>
      </c>
      <c r="G231" s="5" t="s">
        <v>16</v>
      </c>
      <c r="H231" s="12">
        <v>11.0</v>
      </c>
      <c r="I231" s="13">
        <v>0.062</v>
      </c>
      <c r="J231" s="30">
        <v>1.0</v>
      </c>
      <c r="K231" s="10">
        <v>7.0</v>
      </c>
      <c r="L231" s="10">
        <v>1.41</v>
      </c>
      <c r="M231" s="11">
        <v>1.0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2.5" customHeight="1">
      <c r="A232" s="5">
        <v>115.0</v>
      </c>
      <c r="B232" s="13" t="s">
        <v>115</v>
      </c>
      <c r="C232" s="24" t="s">
        <v>116</v>
      </c>
      <c r="D232" s="12">
        <v>29.0</v>
      </c>
      <c r="E232" s="12">
        <v>14.0</v>
      </c>
      <c r="F232" s="5" t="s">
        <v>18</v>
      </c>
      <c r="G232" s="5" t="s">
        <v>17</v>
      </c>
      <c r="H232" s="25">
        <v>10.0</v>
      </c>
      <c r="I232" s="18">
        <v>0.031</v>
      </c>
      <c r="J232" s="30">
        <v>1.0</v>
      </c>
      <c r="K232" s="10">
        <v>7.0</v>
      </c>
      <c r="L232" s="10">
        <v>9.23</v>
      </c>
      <c r="M232" s="11">
        <v>1.0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2.5" customHeight="1">
      <c r="A233" s="5">
        <v>190.0</v>
      </c>
      <c r="B233" s="24" t="s">
        <v>115</v>
      </c>
      <c r="C233" s="24" t="s">
        <v>116</v>
      </c>
      <c r="D233" s="25">
        <v>29.0</v>
      </c>
      <c r="E233" s="25">
        <v>14.0</v>
      </c>
      <c r="F233" s="5" t="s">
        <v>19</v>
      </c>
      <c r="G233" s="5" t="s">
        <v>16</v>
      </c>
      <c r="H233" s="25">
        <v>11.0</v>
      </c>
      <c r="I233" s="26">
        <v>0.062</v>
      </c>
      <c r="J233" s="33">
        <v>1.0</v>
      </c>
      <c r="K233" s="16">
        <v>5.0</v>
      </c>
      <c r="L233" s="16">
        <v>11.19</v>
      </c>
      <c r="M233" s="17">
        <v>1.0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2.5" customHeight="1">
      <c r="A234" s="5">
        <v>215.0</v>
      </c>
      <c r="B234" s="24" t="s">
        <v>115</v>
      </c>
      <c r="C234" s="24" t="s">
        <v>116</v>
      </c>
      <c r="D234" s="25">
        <v>29.0</v>
      </c>
      <c r="E234" s="25">
        <v>14.0</v>
      </c>
      <c r="F234" s="5" t="s">
        <v>19</v>
      </c>
      <c r="G234" s="5" t="s">
        <v>17</v>
      </c>
      <c r="H234" s="12">
        <v>10.0</v>
      </c>
      <c r="I234" s="13">
        <v>0.078</v>
      </c>
      <c r="J234" s="9">
        <v>1.0</v>
      </c>
      <c r="K234" s="16">
        <v>5.0</v>
      </c>
      <c r="L234" s="16">
        <v>142.37</v>
      </c>
      <c r="M234" s="17">
        <v>1.0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2.5" customHeight="1">
      <c r="A235" s="5">
        <v>140.0</v>
      </c>
      <c r="B235" s="24" t="s">
        <v>115</v>
      </c>
      <c r="C235" s="24" t="s">
        <v>116</v>
      </c>
      <c r="D235" s="25">
        <v>29.0</v>
      </c>
      <c r="E235" s="25">
        <v>14.0</v>
      </c>
      <c r="F235" s="5" t="s">
        <v>20</v>
      </c>
      <c r="G235" s="5" t="s">
        <v>16</v>
      </c>
      <c r="H235" s="25">
        <v>11.0</v>
      </c>
      <c r="I235" s="26">
        <v>0.062</v>
      </c>
      <c r="J235" s="33">
        <v>1.0</v>
      </c>
      <c r="K235" s="10">
        <v>4.0</v>
      </c>
      <c r="L235" s="10">
        <v>0.79</v>
      </c>
      <c r="M235" s="11">
        <v>1.0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2.5" customHeight="1">
      <c r="A236" s="5">
        <v>165.0</v>
      </c>
      <c r="B236" s="24" t="s">
        <v>115</v>
      </c>
      <c r="C236" s="24" t="s">
        <v>116</v>
      </c>
      <c r="D236" s="25">
        <v>29.0</v>
      </c>
      <c r="E236" s="25">
        <v>14.0</v>
      </c>
      <c r="F236" s="5" t="s">
        <v>20</v>
      </c>
      <c r="G236" s="5" t="s">
        <v>17</v>
      </c>
      <c r="H236" s="25">
        <v>10.0</v>
      </c>
      <c r="I236" s="26">
        <v>0.078</v>
      </c>
      <c r="J236" s="33">
        <v>1.0</v>
      </c>
      <c r="K236" s="10">
        <v>4.0</v>
      </c>
      <c r="L236" s="10">
        <v>12.53</v>
      </c>
      <c r="M236" s="11">
        <v>1.0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2.5" customHeight="1">
      <c r="A237" s="5">
        <v>61.0</v>
      </c>
      <c r="B237" s="13" t="s">
        <v>115</v>
      </c>
      <c r="C237" s="13" t="s">
        <v>116</v>
      </c>
      <c r="D237" s="12">
        <v>29.0</v>
      </c>
      <c r="E237" s="12">
        <v>14.0</v>
      </c>
      <c r="F237" s="5" t="s">
        <v>21</v>
      </c>
      <c r="G237" s="5" t="s">
        <v>16</v>
      </c>
      <c r="H237" s="12">
        <v>11.0</v>
      </c>
      <c r="I237" s="21" t="s">
        <v>57</v>
      </c>
      <c r="J237" s="34">
        <v>1.0</v>
      </c>
      <c r="K237" s="22"/>
      <c r="L237" s="22"/>
      <c r="M237" s="2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2.5" customHeight="1">
      <c r="A238" s="5">
        <v>67.0</v>
      </c>
      <c r="B238" s="13" t="s">
        <v>115</v>
      </c>
      <c r="C238" s="13" t="s">
        <v>116</v>
      </c>
      <c r="D238" s="12">
        <v>29.0</v>
      </c>
      <c r="E238" s="12">
        <v>14.0</v>
      </c>
      <c r="F238" s="5" t="s">
        <v>21</v>
      </c>
      <c r="G238" s="5" t="s">
        <v>17</v>
      </c>
      <c r="H238" s="12">
        <v>10.0</v>
      </c>
      <c r="I238" s="21" t="s">
        <v>59</v>
      </c>
      <c r="J238" s="34">
        <v>1.0</v>
      </c>
      <c r="K238" s="22"/>
      <c r="L238" s="22"/>
      <c r="M238" s="2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2.5" customHeight="1">
      <c r="A239" s="5">
        <v>241.0</v>
      </c>
      <c r="B239" s="6" t="s">
        <v>117</v>
      </c>
      <c r="C239" s="6" t="s">
        <v>118</v>
      </c>
      <c r="D239" s="7">
        <v>210.0</v>
      </c>
      <c r="E239" s="7">
        <v>10.0</v>
      </c>
      <c r="F239" s="5" t="s">
        <v>15</v>
      </c>
      <c r="G239" s="5" t="s">
        <v>16</v>
      </c>
      <c r="H239" s="7">
        <v>1.0</v>
      </c>
      <c r="I239" s="8">
        <v>0.525</v>
      </c>
      <c r="J239" s="9">
        <v>1.0</v>
      </c>
      <c r="K239" s="16">
        <v>5.0</v>
      </c>
      <c r="L239" s="16">
        <v>3.57</v>
      </c>
      <c r="M239" s="17">
        <v>1.0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2.5" customHeight="1">
      <c r="A240" s="5">
        <v>266.0</v>
      </c>
      <c r="B240" s="6" t="s">
        <v>117</v>
      </c>
      <c r="C240" s="6" t="s">
        <v>118</v>
      </c>
      <c r="D240" s="7">
        <v>210.0</v>
      </c>
      <c r="E240" s="7">
        <v>10.0</v>
      </c>
      <c r="F240" s="5" t="s">
        <v>15</v>
      </c>
      <c r="G240" s="5" t="s">
        <v>17</v>
      </c>
      <c r="H240" s="12">
        <v>1.0</v>
      </c>
      <c r="I240" s="13">
        <v>0.297</v>
      </c>
      <c r="J240" s="9">
        <v>1.0</v>
      </c>
      <c r="K240" s="29"/>
      <c r="L240" s="29"/>
      <c r="M240" s="1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2.5" customHeight="1">
      <c r="A241" s="5">
        <v>30.0</v>
      </c>
      <c r="B241" s="13" t="s">
        <v>119</v>
      </c>
      <c r="C241" s="13" t="s">
        <v>118</v>
      </c>
      <c r="D241" s="12">
        <v>210.0</v>
      </c>
      <c r="E241" s="12">
        <v>10.0</v>
      </c>
      <c r="F241" s="5" t="s">
        <v>18</v>
      </c>
      <c r="G241" s="5" t="s">
        <v>16</v>
      </c>
      <c r="H241" s="12">
        <v>1.0</v>
      </c>
      <c r="I241" s="21" t="s">
        <v>120</v>
      </c>
      <c r="J241" s="34">
        <v>1.0</v>
      </c>
      <c r="K241" s="10">
        <v>9.0</v>
      </c>
      <c r="L241" s="10">
        <v>28.72</v>
      </c>
      <c r="M241" s="11">
        <v>1.0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2.5" customHeight="1">
      <c r="A242" s="5">
        <v>40.0</v>
      </c>
      <c r="B242" s="13" t="s">
        <v>119</v>
      </c>
      <c r="C242" s="13" t="s">
        <v>118</v>
      </c>
      <c r="D242" s="12">
        <v>210.0</v>
      </c>
      <c r="E242" s="12">
        <v>10.0</v>
      </c>
      <c r="F242" s="5" t="s">
        <v>18</v>
      </c>
      <c r="G242" s="5" t="s">
        <v>17</v>
      </c>
      <c r="H242" s="12">
        <v>5.0</v>
      </c>
      <c r="I242" s="21" t="s">
        <v>121</v>
      </c>
      <c r="J242" s="34">
        <v>1.0</v>
      </c>
      <c r="K242" s="22"/>
      <c r="L242" s="22"/>
      <c r="M242" s="2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2.5" customHeight="1">
      <c r="A243" s="5">
        <v>91.0</v>
      </c>
      <c r="B243" s="13" t="s">
        <v>117</v>
      </c>
      <c r="C243" s="6" t="s">
        <v>118</v>
      </c>
      <c r="D243" s="12">
        <v>210.0</v>
      </c>
      <c r="E243" s="12">
        <v>10.0</v>
      </c>
      <c r="F243" s="5" t="s">
        <v>18</v>
      </c>
      <c r="G243" s="5" t="s">
        <v>16</v>
      </c>
      <c r="H243" s="12">
        <v>1.0</v>
      </c>
      <c r="I243" s="13">
        <v>0.525</v>
      </c>
      <c r="J243" s="30">
        <v>1.0</v>
      </c>
      <c r="K243" s="31"/>
      <c r="L243" s="31"/>
      <c r="M243" s="32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2.5" customHeight="1">
      <c r="A244" s="5">
        <v>116.0</v>
      </c>
      <c r="B244" s="13" t="s">
        <v>117</v>
      </c>
      <c r="C244" s="6" t="s">
        <v>118</v>
      </c>
      <c r="D244" s="12">
        <v>210.0</v>
      </c>
      <c r="E244" s="12">
        <v>10.0</v>
      </c>
      <c r="F244" s="5" t="s">
        <v>18</v>
      </c>
      <c r="G244" s="5" t="s">
        <v>17</v>
      </c>
      <c r="H244" s="7">
        <v>1.0</v>
      </c>
      <c r="I244" s="18">
        <v>17.273</v>
      </c>
      <c r="J244" s="30">
        <v>1.0</v>
      </c>
      <c r="K244" s="31"/>
      <c r="L244" s="31"/>
      <c r="M244" s="32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2.5" customHeight="1">
      <c r="A245" s="5">
        <v>191.0</v>
      </c>
      <c r="B245" s="6" t="s">
        <v>117</v>
      </c>
      <c r="C245" s="6" t="s">
        <v>118</v>
      </c>
      <c r="D245" s="7">
        <v>210.0</v>
      </c>
      <c r="E245" s="7">
        <v>10.0</v>
      </c>
      <c r="F245" s="5" t="s">
        <v>19</v>
      </c>
      <c r="G245" s="5" t="s">
        <v>16</v>
      </c>
      <c r="H245" s="7">
        <v>1.0</v>
      </c>
      <c r="I245" s="8">
        <v>0.525</v>
      </c>
      <c r="J245" s="9">
        <v>1.0</v>
      </c>
      <c r="K245" s="29"/>
      <c r="L245" s="29"/>
      <c r="M245" s="1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2.5" customHeight="1">
      <c r="A246" s="5">
        <v>216.0</v>
      </c>
      <c r="B246" s="6" t="s">
        <v>117</v>
      </c>
      <c r="C246" s="6" t="s">
        <v>118</v>
      </c>
      <c r="D246" s="7">
        <v>210.0</v>
      </c>
      <c r="E246" s="7">
        <v>10.0</v>
      </c>
      <c r="F246" s="5" t="s">
        <v>19</v>
      </c>
      <c r="G246" s="5" t="s">
        <v>17</v>
      </c>
      <c r="H246" s="12">
        <v>1.0</v>
      </c>
      <c r="I246" s="13">
        <v>0.297</v>
      </c>
      <c r="J246" s="9">
        <v>1.0</v>
      </c>
      <c r="K246" s="29"/>
      <c r="L246" s="29"/>
      <c r="M246" s="1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2.5" customHeight="1">
      <c r="A247" s="5">
        <v>9.0</v>
      </c>
      <c r="B247" s="13" t="s">
        <v>119</v>
      </c>
      <c r="C247" s="13" t="s">
        <v>118</v>
      </c>
      <c r="D247" s="12">
        <v>210.0</v>
      </c>
      <c r="E247" s="12">
        <v>10.0</v>
      </c>
      <c r="F247" s="5" t="s">
        <v>20</v>
      </c>
      <c r="G247" s="5" t="s">
        <v>16</v>
      </c>
      <c r="H247" s="12">
        <v>1.0</v>
      </c>
      <c r="I247" s="21" t="s">
        <v>122</v>
      </c>
      <c r="J247" s="34">
        <v>1.0</v>
      </c>
      <c r="K247" s="16">
        <v>1.0</v>
      </c>
      <c r="L247" s="16">
        <v>7.12</v>
      </c>
      <c r="M247" s="17">
        <v>1.0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2.5" customHeight="1">
      <c r="A248" s="5">
        <v>10.0</v>
      </c>
      <c r="B248" s="13" t="s">
        <v>119</v>
      </c>
      <c r="C248" s="13" t="s">
        <v>118</v>
      </c>
      <c r="D248" s="12">
        <v>210.0</v>
      </c>
      <c r="E248" s="12">
        <v>10.0</v>
      </c>
      <c r="F248" s="5" t="s">
        <v>20</v>
      </c>
      <c r="G248" s="5" t="s">
        <v>16</v>
      </c>
      <c r="H248" s="12">
        <v>1.0</v>
      </c>
      <c r="I248" s="21" t="s">
        <v>120</v>
      </c>
      <c r="J248" s="34">
        <v>1.0</v>
      </c>
      <c r="K248" s="22"/>
      <c r="L248" s="22"/>
      <c r="M248" s="2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2.5" customHeight="1">
      <c r="A249" s="5">
        <v>19.0</v>
      </c>
      <c r="B249" s="13" t="s">
        <v>119</v>
      </c>
      <c r="C249" s="13" t="s">
        <v>118</v>
      </c>
      <c r="D249" s="12">
        <v>210.0</v>
      </c>
      <c r="E249" s="12">
        <v>10.0</v>
      </c>
      <c r="F249" s="5" t="s">
        <v>20</v>
      </c>
      <c r="G249" s="5" t="s">
        <v>17</v>
      </c>
      <c r="H249" s="12">
        <v>1.0</v>
      </c>
      <c r="I249" s="21" t="s">
        <v>123</v>
      </c>
      <c r="J249" s="34">
        <v>1.0</v>
      </c>
      <c r="K249" s="16">
        <v>1.0</v>
      </c>
      <c r="L249" s="16">
        <v>7.85</v>
      </c>
      <c r="M249" s="17">
        <v>1.0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2.5" customHeight="1">
      <c r="A250" s="5">
        <v>20.0</v>
      </c>
      <c r="B250" s="13" t="s">
        <v>119</v>
      </c>
      <c r="C250" s="13" t="s">
        <v>118</v>
      </c>
      <c r="D250" s="12">
        <v>210.0</v>
      </c>
      <c r="E250" s="12">
        <v>10.0</v>
      </c>
      <c r="F250" s="5" t="s">
        <v>20</v>
      </c>
      <c r="G250" s="5" t="s">
        <v>17</v>
      </c>
      <c r="H250" s="12">
        <v>5.0</v>
      </c>
      <c r="I250" s="21" t="s">
        <v>121</v>
      </c>
      <c r="J250" s="34">
        <v>1.0</v>
      </c>
      <c r="K250" s="22"/>
      <c r="L250" s="22"/>
      <c r="M250" s="2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2.5" customHeight="1">
      <c r="A251" s="5">
        <v>141.0</v>
      </c>
      <c r="B251" s="6" t="s">
        <v>117</v>
      </c>
      <c r="C251" s="6" t="s">
        <v>118</v>
      </c>
      <c r="D251" s="7">
        <v>210.0</v>
      </c>
      <c r="E251" s="7">
        <v>10.0</v>
      </c>
      <c r="F251" s="5" t="s">
        <v>20</v>
      </c>
      <c r="G251" s="5" t="s">
        <v>16</v>
      </c>
      <c r="H251" s="7">
        <v>1.0</v>
      </c>
      <c r="I251" s="8">
        <v>0.525</v>
      </c>
      <c r="J251" s="9">
        <v>1.0</v>
      </c>
      <c r="K251" s="29"/>
      <c r="L251" s="29"/>
      <c r="M251" s="1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2.5" customHeight="1">
      <c r="A252" s="5">
        <v>166.0</v>
      </c>
      <c r="B252" s="6" t="s">
        <v>117</v>
      </c>
      <c r="C252" s="6" t="s">
        <v>118</v>
      </c>
      <c r="D252" s="7">
        <v>210.0</v>
      </c>
      <c r="E252" s="7">
        <v>10.0</v>
      </c>
      <c r="F252" s="5" t="s">
        <v>20</v>
      </c>
      <c r="G252" s="5" t="s">
        <v>17</v>
      </c>
      <c r="H252" s="7">
        <v>1.0</v>
      </c>
      <c r="I252" s="8">
        <v>0.297</v>
      </c>
      <c r="J252" s="9">
        <v>1.0</v>
      </c>
      <c r="K252" s="29"/>
      <c r="L252" s="29"/>
      <c r="M252" s="1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2.5" customHeight="1">
      <c r="A253" s="5">
        <v>242.0</v>
      </c>
      <c r="B253" s="24" t="s">
        <v>124</v>
      </c>
      <c r="C253" s="24" t="s">
        <v>125</v>
      </c>
      <c r="D253" s="25">
        <v>15.0</v>
      </c>
      <c r="E253" s="25">
        <v>10.0</v>
      </c>
      <c r="F253" s="5" t="s">
        <v>15</v>
      </c>
      <c r="G253" s="5" t="s">
        <v>16</v>
      </c>
      <c r="H253" s="25">
        <v>4.0</v>
      </c>
      <c r="I253" s="26">
        <v>0.015</v>
      </c>
      <c r="J253" s="9">
        <v>1.0</v>
      </c>
      <c r="K253" s="10">
        <v>4.0</v>
      </c>
      <c r="L253" s="10">
        <v>0.93</v>
      </c>
      <c r="M253" s="11">
        <v>1.0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2.5" customHeight="1">
      <c r="A254" s="5">
        <v>267.0</v>
      </c>
      <c r="B254" s="24" t="s">
        <v>124</v>
      </c>
      <c r="C254" s="24" t="s">
        <v>125</v>
      </c>
      <c r="D254" s="25">
        <v>15.0</v>
      </c>
      <c r="E254" s="25">
        <v>10.0</v>
      </c>
      <c r="F254" s="5" t="s">
        <v>15</v>
      </c>
      <c r="G254" s="5" t="s">
        <v>17</v>
      </c>
      <c r="H254" s="12">
        <v>4.0</v>
      </c>
      <c r="I254" s="13">
        <v>0.015</v>
      </c>
      <c r="J254" s="9">
        <v>1.0</v>
      </c>
      <c r="K254" s="10">
        <v>4.0</v>
      </c>
      <c r="L254" s="10">
        <v>1.41</v>
      </c>
      <c r="M254" s="11">
        <v>1.0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2.5" customHeight="1">
      <c r="A255" s="5">
        <v>92.0</v>
      </c>
      <c r="B255" s="13" t="s">
        <v>124</v>
      </c>
      <c r="C255" s="24" t="s">
        <v>125</v>
      </c>
      <c r="D255" s="12">
        <v>15.0</v>
      </c>
      <c r="E255" s="12">
        <v>10.0</v>
      </c>
      <c r="F255" s="5" t="s">
        <v>18</v>
      </c>
      <c r="G255" s="5" t="s">
        <v>16</v>
      </c>
      <c r="H255" s="12">
        <v>4.0</v>
      </c>
      <c r="I255" s="13">
        <v>0.015</v>
      </c>
      <c r="J255" s="30">
        <v>1.0</v>
      </c>
      <c r="K255" s="16">
        <v>6.0</v>
      </c>
      <c r="L255" s="16">
        <v>0.52</v>
      </c>
      <c r="M255" s="17">
        <v>1.0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2.5" customHeight="1">
      <c r="A256" s="5">
        <v>117.0</v>
      </c>
      <c r="B256" s="13" t="s">
        <v>124</v>
      </c>
      <c r="C256" s="24" t="s">
        <v>125</v>
      </c>
      <c r="D256" s="12">
        <v>15.0</v>
      </c>
      <c r="E256" s="12">
        <v>10.0</v>
      </c>
      <c r="F256" s="5" t="s">
        <v>18</v>
      </c>
      <c r="G256" s="5" t="s">
        <v>17</v>
      </c>
      <c r="H256" s="25">
        <v>4.0</v>
      </c>
      <c r="I256" s="18">
        <v>0.015</v>
      </c>
      <c r="J256" s="30">
        <v>1.0</v>
      </c>
      <c r="K256" s="16">
        <v>4.0</v>
      </c>
      <c r="L256" s="16">
        <v>3.31</v>
      </c>
      <c r="M256" s="17">
        <v>1.0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2.5" customHeight="1">
      <c r="A257" s="5">
        <v>192.0</v>
      </c>
      <c r="B257" s="24" t="s">
        <v>124</v>
      </c>
      <c r="C257" s="24" t="s">
        <v>125</v>
      </c>
      <c r="D257" s="25">
        <v>15.0</v>
      </c>
      <c r="E257" s="25">
        <v>10.0</v>
      </c>
      <c r="F257" s="5" t="s">
        <v>19</v>
      </c>
      <c r="G257" s="5" t="s">
        <v>16</v>
      </c>
      <c r="H257" s="25">
        <v>4.0</v>
      </c>
      <c r="I257" s="26">
        <v>0.015</v>
      </c>
      <c r="J257" s="33">
        <v>1.0</v>
      </c>
      <c r="K257" s="10">
        <v>5.0</v>
      </c>
      <c r="L257" s="10">
        <v>2.76</v>
      </c>
      <c r="M257" s="11">
        <v>1.0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2.5" customHeight="1">
      <c r="A258" s="5">
        <v>217.0</v>
      </c>
      <c r="B258" s="24" t="s">
        <v>124</v>
      </c>
      <c r="C258" s="24" t="s">
        <v>125</v>
      </c>
      <c r="D258" s="25">
        <v>15.0</v>
      </c>
      <c r="E258" s="25">
        <v>10.0</v>
      </c>
      <c r="F258" s="5" t="s">
        <v>19</v>
      </c>
      <c r="G258" s="5" t="s">
        <v>17</v>
      </c>
      <c r="H258" s="12">
        <v>4.0</v>
      </c>
      <c r="I258" s="13">
        <v>0.015</v>
      </c>
      <c r="J258" s="9">
        <v>1.0</v>
      </c>
      <c r="K258" s="10">
        <v>4.0</v>
      </c>
      <c r="L258" s="10">
        <v>45.48</v>
      </c>
      <c r="M258" s="11">
        <v>1.0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2.5" customHeight="1">
      <c r="A259" s="5">
        <v>142.0</v>
      </c>
      <c r="B259" s="24" t="s">
        <v>124</v>
      </c>
      <c r="C259" s="24" t="s">
        <v>125</v>
      </c>
      <c r="D259" s="25">
        <v>15.0</v>
      </c>
      <c r="E259" s="25">
        <v>10.0</v>
      </c>
      <c r="F259" s="5" t="s">
        <v>20</v>
      </c>
      <c r="G259" s="5" t="s">
        <v>16</v>
      </c>
      <c r="H259" s="25">
        <v>4.0</v>
      </c>
      <c r="I259" s="26">
        <v>0.015</v>
      </c>
      <c r="J259" s="33">
        <v>1.0</v>
      </c>
      <c r="K259" s="16">
        <v>3.0</v>
      </c>
      <c r="L259" s="16">
        <v>0.31</v>
      </c>
      <c r="M259" s="17">
        <v>1.0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2.5" customHeight="1">
      <c r="A260" s="5">
        <v>167.0</v>
      </c>
      <c r="B260" s="24" t="s">
        <v>124</v>
      </c>
      <c r="C260" s="24" t="s">
        <v>125</v>
      </c>
      <c r="D260" s="25">
        <v>15.0</v>
      </c>
      <c r="E260" s="25">
        <v>10.0</v>
      </c>
      <c r="F260" s="5" t="s">
        <v>20</v>
      </c>
      <c r="G260" s="5" t="s">
        <v>17</v>
      </c>
      <c r="H260" s="25">
        <v>4.0</v>
      </c>
      <c r="I260" s="26">
        <v>0.015</v>
      </c>
      <c r="J260" s="33">
        <v>1.0</v>
      </c>
      <c r="K260" s="16">
        <v>3.0</v>
      </c>
      <c r="L260" s="16">
        <v>0.14</v>
      </c>
      <c r="M260" s="17">
        <v>1.0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2.5" customHeight="1">
      <c r="A261" s="5">
        <v>243.0</v>
      </c>
      <c r="B261" s="6" t="s">
        <v>126</v>
      </c>
      <c r="C261" s="6" t="s">
        <v>127</v>
      </c>
      <c r="D261" s="7">
        <v>3144.0</v>
      </c>
      <c r="E261" s="7">
        <v>8.0</v>
      </c>
      <c r="F261" s="5" t="s">
        <v>15</v>
      </c>
      <c r="G261" s="5" t="s">
        <v>16</v>
      </c>
      <c r="H261" s="7">
        <v>8.0</v>
      </c>
      <c r="I261" s="8">
        <v>74.455</v>
      </c>
      <c r="J261" s="9">
        <v>1.0</v>
      </c>
      <c r="M261" s="27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2.5" customHeight="1">
      <c r="A262" s="5">
        <v>268.0</v>
      </c>
      <c r="B262" s="6" t="s">
        <v>126</v>
      </c>
      <c r="C262" s="6" t="s">
        <v>127</v>
      </c>
      <c r="D262" s="7">
        <v>3144.0</v>
      </c>
      <c r="E262" s="7">
        <v>8.0</v>
      </c>
      <c r="F262" s="5" t="s">
        <v>15</v>
      </c>
      <c r="G262" s="5" t="s">
        <v>17</v>
      </c>
      <c r="H262" s="12">
        <v>8.0</v>
      </c>
      <c r="I262" s="13">
        <v>74.455</v>
      </c>
      <c r="J262" s="9">
        <v>1.0</v>
      </c>
      <c r="K262" s="29"/>
      <c r="L262" s="29"/>
      <c r="M262" s="1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2.5" customHeight="1">
      <c r="A263" s="5">
        <v>93.0</v>
      </c>
      <c r="B263" s="13" t="s">
        <v>126</v>
      </c>
      <c r="C263" s="6" t="s">
        <v>127</v>
      </c>
      <c r="D263" s="12">
        <v>3144.0</v>
      </c>
      <c r="E263" s="12">
        <v>8.0</v>
      </c>
      <c r="F263" s="5" t="s">
        <v>18</v>
      </c>
      <c r="G263" s="5" t="s">
        <v>16</v>
      </c>
      <c r="H263" s="12">
        <v>8.0</v>
      </c>
      <c r="I263" s="13">
        <v>74.455</v>
      </c>
      <c r="J263" s="30">
        <v>0.9407</v>
      </c>
      <c r="K263" s="31"/>
      <c r="L263" s="31"/>
      <c r="M263" s="32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2.5" customHeight="1">
      <c r="A264" s="5">
        <v>118.0</v>
      </c>
      <c r="B264" s="13" t="s">
        <v>126</v>
      </c>
      <c r="C264" s="6" t="s">
        <v>127</v>
      </c>
      <c r="D264" s="12">
        <v>3144.0</v>
      </c>
      <c r="E264" s="12">
        <v>8.0</v>
      </c>
      <c r="F264" s="5" t="s">
        <v>18</v>
      </c>
      <c r="G264" s="5" t="s">
        <v>17</v>
      </c>
      <c r="H264" s="7">
        <v>8.0</v>
      </c>
      <c r="I264" s="18">
        <v>74.455</v>
      </c>
      <c r="J264" s="30">
        <v>0.9407</v>
      </c>
      <c r="K264" s="31"/>
      <c r="L264" s="31"/>
      <c r="M264" s="32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2.5" customHeight="1">
      <c r="A265" s="5">
        <v>193.0</v>
      </c>
      <c r="B265" s="6" t="s">
        <v>126</v>
      </c>
      <c r="C265" s="6" t="s">
        <v>127</v>
      </c>
      <c r="D265" s="7">
        <v>3144.0</v>
      </c>
      <c r="E265" s="7">
        <v>8.0</v>
      </c>
      <c r="F265" s="5" t="s">
        <v>19</v>
      </c>
      <c r="G265" s="5" t="s">
        <v>16</v>
      </c>
      <c r="H265" s="7">
        <v>8.0</v>
      </c>
      <c r="I265" s="8">
        <v>74.455</v>
      </c>
      <c r="J265" s="9">
        <v>1.0</v>
      </c>
      <c r="K265" s="29"/>
      <c r="L265" s="29"/>
      <c r="M265" s="1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2.5" customHeight="1">
      <c r="A266" s="5">
        <v>218.0</v>
      </c>
      <c r="B266" s="6" t="s">
        <v>126</v>
      </c>
      <c r="C266" s="6" t="s">
        <v>127</v>
      </c>
      <c r="D266" s="7">
        <v>3144.0</v>
      </c>
      <c r="E266" s="7">
        <v>8.0</v>
      </c>
      <c r="F266" s="5" t="s">
        <v>19</v>
      </c>
      <c r="G266" s="5" t="s">
        <v>17</v>
      </c>
      <c r="H266" s="12">
        <v>8.0</v>
      </c>
      <c r="I266" s="13">
        <v>74.455</v>
      </c>
      <c r="J266" s="9">
        <v>1.0</v>
      </c>
      <c r="K266" s="29"/>
      <c r="L266" s="29"/>
      <c r="M266" s="1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2.5" customHeight="1">
      <c r="A267" s="5">
        <v>143.0</v>
      </c>
      <c r="B267" s="6" t="s">
        <v>126</v>
      </c>
      <c r="C267" s="6" t="s">
        <v>127</v>
      </c>
      <c r="D267" s="7">
        <v>3144.0</v>
      </c>
      <c r="E267" s="7">
        <v>8.0</v>
      </c>
      <c r="F267" s="5" t="s">
        <v>20</v>
      </c>
      <c r="G267" s="5" t="s">
        <v>16</v>
      </c>
      <c r="H267" s="7">
        <v>8.0</v>
      </c>
      <c r="I267" s="8">
        <v>74.455</v>
      </c>
      <c r="J267" s="9">
        <v>0.9407</v>
      </c>
      <c r="K267" s="10">
        <v>16.0</v>
      </c>
      <c r="L267" s="10">
        <v>7735.71</v>
      </c>
      <c r="M267" s="11">
        <v>0.9949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2.5" customHeight="1">
      <c r="A268" s="5">
        <v>168.0</v>
      </c>
      <c r="B268" s="6" t="s">
        <v>126</v>
      </c>
      <c r="C268" s="6" t="s">
        <v>127</v>
      </c>
      <c r="D268" s="7">
        <v>3144.0</v>
      </c>
      <c r="E268" s="7">
        <v>8.0</v>
      </c>
      <c r="F268" s="5" t="s">
        <v>20</v>
      </c>
      <c r="G268" s="5" t="s">
        <v>17</v>
      </c>
      <c r="H268" s="7">
        <v>8.0</v>
      </c>
      <c r="I268" s="8">
        <v>74.455</v>
      </c>
      <c r="J268" s="9">
        <v>0.9407</v>
      </c>
      <c r="K268" s="10">
        <v>1.0</v>
      </c>
      <c r="L268" s="10">
        <v>103.78</v>
      </c>
      <c r="M268" s="11">
        <v>1.0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>
      <c r="A1067" s="36"/>
      <c r="B1067" s="36"/>
      <c r="C1067" s="36"/>
      <c r="D1067" s="36"/>
      <c r="E1067" s="36"/>
      <c r="F1067" s="36"/>
      <c r="G1067" s="36"/>
      <c r="H1067" s="36"/>
      <c r="I1067" s="36"/>
      <c r="J1067" s="36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>
      <c r="A1081" s="36"/>
      <c r="B1081" s="36"/>
      <c r="C1081" s="36"/>
      <c r="D1081" s="36"/>
      <c r="E1081" s="36"/>
      <c r="F1081" s="36"/>
      <c r="G1081" s="36"/>
      <c r="H1081" s="36"/>
      <c r="I1081" s="36"/>
      <c r="J1081" s="36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>
      <c r="A1082" s="36"/>
      <c r="B1082" s="36"/>
      <c r="C1082" s="36"/>
      <c r="D1082" s="36"/>
      <c r="E1082" s="36"/>
      <c r="F1082" s="36"/>
      <c r="G1082" s="36"/>
      <c r="H1082" s="36"/>
      <c r="I1082" s="36"/>
      <c r="J1082" s="36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>
      <c r="A1083" s="36"/>
      <c r="B1083" s="36"/>
      <c r="C1083" s="36"/>
      <c r="D1083" s="36"/>
      <c r="E1083" s="36"/>
      <c r="F1083" s="36"/>
      <c r="G1083" s="36"/>
      <c r="H1083" s="36"/>
      <c r="I1083" s="36"/>
      <c r="J1083" s="36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>
      <c r="A1084" s="36"/>
      <c r="B1084" s="36"/>
      <c r="C1084" s="36"/>
      <c r="D1084" s="36"/>
      <c r="E1084" s="36"/>
      <c r="F1084" s="36"/>
      <c r="G1084" s="36"/>
      <c r="H1084" s="36"/>
      <c r="I1084" s="36"/>
      <c r="J1084" s="36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>
      <c r="A1085" s="36"/>
      <c r="B1085" s="36"/>
      <c r="C1085" s="36"/>
      <c r="D1085" s="36"/>
      <c r="E1085" s="36"/>
      <c r="F1085" s="36"/>
      <c r="G1085" s="36"/>
      <c r="H1085" s="36"/>
      <c r="I1085" s="36"/>
      <c r="J1085" s="36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>
      <c r="A1086" s="36"/>
      <c r="B1086" s="36"/>
      <c r="C1086" s="36"/>
      <c r="D1086" s="36"/>
      <c r="E1086" s="36"/>
      <c r="F1086" s="36"/>
      <c r="G1086" s="36"/>
      <c r="H1086" s="36"/>
      <c r="I1086" s="36"/>
      <c r="J1086" s="36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>
      <c r="A1087" s="36"/>
      <c r="B1087" s="36"/>
      <c r="C1087" s="36"/>
      <c r="D1087" s="36"/>
      <c r="E1087" s="36"/>
      <c r="F1087" s="36"/>
      <c r="G1087" s="36"/>
      <c r="H1087" s="36"/>
      <c r="I1087" s="36"/>
      <c r="J1087" s="36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>
      <c r="A1088" s="36"/>
      <c r="B1088" s="36"/>
      <c r="C1088" s="36"/>
      <c r="D1088" s="36"/>
      <c r="E1088" s="36"/>
      <c r="F1088" s="36"/>
      <c r="G1088" s="36"/>
      <c r="H1088" s="36"/>
      <c r="I1088" s="36"/>
      <c r="J1088" s="36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>
      <c r="A1089" s="36"/>
      <c r="B1089" s="36"/>
      <c r="C1089" s="36"/>
      <c r="D1089" s="36"/>
      <c r="E1089" s="36"/>
      <c r="F1089" s="36"/>
      <c r="G1089" s="36"/>
      <c r="H1089" s="36"/>
      <c r="I1089" s="36"/>
      <c r="J1089" s="36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>
      <c r="A1090" s="36"/>
      <c r="B1090" s="36"/>
      <c r="C1090" s="36"/>
      <c r="D1090" s="36"/>
      <c r="E1090" s="36"/>
      <c r="F1090" s="36"/>
      <c r="G1090" s="36"/>
      <c r="H1090" s="36"/>
      <c r="I1090" s="36"/>
      <c r="J1090" s="36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>
      <c r="A1091" s="36"/>
      <c r="B1091" s="36"/>
      <c r="C1091" s="36"/>
      <c r="D1091" s="36"/>
      <c r="E1091" s="36"/>
      <c r="F1091" s="36"/>
      <c r="G1091" s="36"/>
      <c r="H1091" s="36"/>
      <c r="I1091" s="36"/>
      <c r="J1091" s="36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>
      <c r="A1092" s="36"/>
      <c r="B1092" s="36"/>
      <c r="C1092" s="36"/>
      <c r="D1092" s="36"/>
      <c r="E1092" s="36"/>
      <c r="F1092" s="36"/>
      <c r="G1092" s="36"/>
      <c r="H1092" s="36"/>
      <c r="I1092" s="36"/>
      <c r="J1092" s="36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>
      <c r="A1093" s="36"/>
      <c r="B1093" s="36"/>
      <c r="C1093" s="36"/>
      <c r="D1093" s="36"/>
      <c r="E1093" s="36"/>
      <c r="F1093" s="36"/>
      <c r="G1093" s="36"/>
      <c r="H1093" s="36"/>
      <c r="I1093" s="36"/>
      <c r="J1093" s="36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>
      <c r="A1094" s="36"/>
      <c r="B1094" s="36"/>
      <c r="C1094" s="36"/>
      <c r="D1094" s="36"/>
      <c r="E1094" s="36"/>
      <c r="F1094" s="36"/>
      <c r="G1094" s="36"/>
      <c r="H1094" s="36"/>
      <c r="I1094" s="36"/>
      <c r="J1094" s="36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>
      <c r="A1095" s="36"/>
      <c r="B1095" s="36"/>
      <c r="C1095" s="36"/>
      <c r="D1095" s="36"/>
      <c r="E1095" s="36"/>
      <c r="F1095" s="36"/>
      <c r="G1095" s="36"/>
      <c r="H1095" s="36"/>
      <c r="I1095" s="36"/>
      <c r="J1095" s="36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 ht="22.5" customHeight="1">
      <c r="A1102" s="37" t="s">
        <v>2</v>
      </c>
      <c r="B1102" s="37" t="s">
        <v>1</v>
      </c>
      <c r="C1102" s="37" t="s">
        <v>128</v>
      </c>
      <c r="D1102" s="37" t="s">
        <v>3</v>
      </c>
      <c r="E1102" s="37" t="s">
        <v>4</v>
      </c>
      <c r="F1102" s="37" t="s">
        <v>129</v>
      </c>
      <c r="G1102" s="37" t="s">
        <v>130</v>
      </c>
      <c r="H1102" s="37" t="s">
        <v>131</v>
      </c>
      <c r="I1102" s="37" t="s">
        <v>132</v>
      </c>
      <c r="J1102" s="37" t="s">
        <v>133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 ht="22.5" customHeight="1">
      <c r="A1103" s="38" t="s">
        <v>14</v>
      </c>
      <c r="B1103" s="38" t="s">
        <v>13</v>
      </c>
      <c r="C1103" s="38">
        <v>0.109</v>
      </c>
      <c r="D1103" s="39">
        <v>46.0</v>
      </c>
      <c r="E1103" s="39">
        <v>14.0</v>
      </c>
      <c r="F1103" s="39">
        <v>100.0</v>
      </c>
      <c r="G1103" s="39">
        <v>9.0</v>
      </c>
      <c r="H1103" s="39">
        <v>190.0</v>
      </c>
      <c r="I1103" s="39">
        <v>100.0</v>
      </c>
      <c r="J1103" s="39">
        <v>4.0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 ht="22.5" customHeight="1">
      <c r="A1104" s="38" t="s">
        <v>29</v>
      </c>
      <c r="B1104" s="38" t="s">
        <v>28</v>
      </c>
      <c r="C1104" s="38">
        <v>0.015</v>
      </c>
      <c r="D1104" s="39">
        <v>14.0</v>
      </c>
      <c r="E1104" s="39">
        <v>5.0</v>
      </c>
      <c r="F1104" s="39">
        <v>100.0</v>
      </c>
      <c r="G1104" s="39">
        <v>3.0</v>
      </c>
      <c r="H1104" s="39">
        <v>28.0</v>
      </c>
      <c r="I1104" s="39">
        <v>100.0</v>
      </c>
      <c r="J1104" s="39">
        <v>3.0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 ht="22.5" customHeight="1">
      <c r="A1105" s="38" t="s">
        <v>32</v>
      </c>
      <c r="B1105" s="38" t="s">
        <v>31</v>
      </c>
      <c r="C1105" s="38">
        <v>0.015</v>
      </c>
      <c r="D1105" s="39">
        <v>6.0</v>
      </c>
      <c r="E1105" s="39">
        <v>5.0</v>
      </c>
      <c r="F1105" s="39">
        <v>100.0</v>
      </c>
      <c r="G1105" s="39">
        <v>2.0</v>
      </c>
      <c r="H1105" s="39">
        <v>12.0</v>
      </c>
      <c r="I1105" s="39">
        <v>100.0</v>
      </c>
      <c r="J1105" s="39">
        <v>2.0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 ht="22.5" customHeight="1">
      <c r="A1106" s="38" t="s">
        <v>34</v>
      </c>
      <c r="B1106" s="38" t="s">
        <v>33</v>
      </c>
      <c r="C1106" s="38">
        <v>9.593</v>
      </c>
      <c r="D1106" s="39">
        <v>307.0</v>
      </c>
      <c r="E1106" s="39">
        <v>87.0</v>
      </c>
      <c r="F1106" s="39">
        <v>100.0</v>
      </c>
      <c r="G1106" s="39">
        <v>5.0</v>
      </c>
      <c r="H1106" s="39">
        <v>614.0</v>
      </c>
      <c r="I1106" s="39">
        <v>100.0</v>
      </c>
      <c r="J1106" s="39">
        <v>4.0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 ht="22.5" customHeight="1">
      <c r="A1107" s="38" t="s">
        <v>36</v>
      </c>
      <c r="B1107" s="38" t="s">
        <v>35</v>
      </c>
      <c r="C1107" s="38">
        <v>0.657</v>
      </c>
      <c r="D1107" s="39">
        <v>20.0</v>
      </c>
      <c r="E1107" s="39">
        <v>16.0</v>
      </c>
      <c r="F1107" s="39">
        <v>100.0</v>
      </c>
      <c r="G1107" s="39">
        <v>2.0</v>
      </c>
      <c r="H1107" s="39">
        <v>80.0</v>
      </c>
      <c r="I1107" s="39">
        <v>100.0</v>
      </c>
      <c r="J1107" s="39">
        <v>1.0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 ht="22.5" customHeight="1">
      <c r="A1108" s="38" t="s">
        <v>42</v>
      </c>
      <c r="B1108" s="38" t="s">
        <v>41</v>
      </c>
      <c r="C1108" s="38">
        <v>0.828</v>
      </c>
      <c r="D1108" s="39">
        <v>78.0</v>
      </c>
      <c r="E1108" s="39">
        <v>39.0</v>
      </c>
      <c r="F1108" s="39">
        <v>100.0</v>
      </c>
      <c r="G1108" s="39">
        <v>3.0</v>
      </c>
      <c r="H1108" s="39">
        <v>156.0</v>
      </c>
      <c r="I1108" s="39">
        <v>100.0</v>
      </c>
      <c r="J1108" s="39">
        <v>2.0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 ht="22.5" customHeight="1">
      <c r="A1109" s="38" t="s">
        <v>40</v>
      </c>
      <c r="B1109" s="38" t="s">
        <v>39</v>
      </c>
      <c r="C1109" s="38">
        <v>0.062</v>
      </c>
      <c r="D1109" s="39">
        <v>19.0</v>
      </c>
      <c r="E1109" s="39">
        <v>12.0</v>
      </c>
      <c r="F1109" s="39">
        <v>100.0</v>
      </c>
      <c r="G1109" s="39">
        <v>2.0</v>
      </c>
      <c r="H1109" s="39">
        <v>190.0</v>
      </c>
      <c r="I1109" s="39">
        <v>100.0</v>
      </c>
      <c r="J1109" s="39">
        <v>2.0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 ht="22.5" customHeight="1">
      <c r="A1110" s="38" t="s">
        <v>50</v>
      </c>
      <c r="B1110" s="38" t="s">
        <v>49</v>
      </c>
      <c r="C1110" s="38">
        <v>0.109</v>
      </c>
      <c r="D1110" s="39">
        <v>153.0</v>
      </c>
      <c r="E1110" s="39">
        <v>45.0</v>
      </c>
      <c r="F1110" s="39">
        <v>100.0</v>
      </c>
      <c r="G1110" s="39">
        <v>2.0</v>
      </c>
      <c r="H1110" s="39">
        <v>306.0</v>
      </c>
      <c r="I1110" s="39">
        <v>100.0</v>
      </c>
      <c r="J1110" s="39">
        <v>1.0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 ht="22.5" customHeight="1">
      <c r="A1111" s="38" t="s">
        <v>48</v>
      </c>
      <c r="B1111" s="38" t="s">
        <v>47</v>
      </c>
      <c r="C1111" s="38">
        <v>12.178</v>
      </c>
      <c r="D1111" s="39">
        <v>132.0</v>
      </c>
      <c r="E1111" s="39">
        <v>15.0</v>
      </c>
      <c r="F1111" s="39">
        <v>100.0</v>
      </c>
      <c r="G1111" s="39">
        <v>8.0</v>
      </c>
      <c r="H1111" s="39">
        <v>308.0</v>
      </c>
      <c r="I1111" s="39">
        <v>100.0</v>
      </c>
      <c r="J1111" s="39">
        <v>15.0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  <row r="1112" ht="22.5" customHeight="1">
      <c r="A1112" s="38" t="s">
        <v>61</v>
      </c>
      <c r="B1112" s="38" t="s">
        <v>60</v>
      </c>
      <c r="C1112" s="38">
        <v>0.015</v>
      </c>
      <c r="D1112" s="39">
        <v>11.0</v>
      </c>
      <c r="E1112" s="39">
        <v>4.0</v>
      </c>
      <c r="F1112" s="39">
        <v>100.0</v>
      </c>
      <c r="G1112" s="39">
        <v>2.0</v>
      </c>
      <c r="H1112" s="39">
        <v>22.0</v>
      </c>
      <c r="I1112" s="39">
        <v>100.0</v>
      </c>
      <c r="J1112" s="39">
        <v>2.0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</row>
    <row r="1113" ht="22.5" customHeight="1">
      <c r="A1113" s="38" t="s">
        <v>70</v>
      </c>
      <c r="B1113" s="38" t="s">
        <v>69</v>
      </c>
      <c r="C1113" s="38">
        <v>0.015</v>
      </c>
      <c r="D1113" s="39">
        <v>24.0</v>
      </c>
      <c r="E1113" s="39">
        <v>5.0</v>
      </c>
      <c r="F1113" s="39">
        <v>100.0</v>
      </c>
      <c r="G1113" s="39">
        <v>4.0</v>
      </c>
      <c r="H1113" s="39">
        <v>48.0</v>
      </c>
      <c r="I1113" s="39">
        <v>100.0</v>
      </c>
      <c r="J1113" s="39">
        <v>4.0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</row>
    <row r="1114" ht="22.5" customHeight="1">
      <c r="A1114" s="38" t="s">
        <v>72</v>
      </c>
      <c r="B1114" s="38" t="s">
        <v>71</v>
      </c>
      <c r="C1114" s="38">
        <v>5.76</v>
      </c>
      <c r="D1114" s="39">
        <v>159.0</v>
      </c>
      <c r="E1114" s="39">
        <v>46.0</v>
      </c>
      <c r="F1114" s="39">
        <v>100.0</v>
      </c>
      <c r="G1114" s="39">
        <v>9.0</v>
      </c>
      <c r="H1114" s="39">
        <v>318.0</v>
      </c>
      <c r="I1114" s="39">
        <v>100.0</v>
      </c>
      <c r="J1114" s="39">
        <v>9.0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</row>
    <row r="1115" ht="22.5" customHeight="1">
      <c r="A1115" s="38" t="s">
        <v>74</v>
      </c>
      <c r="B1115" s="38" t="s">
        <v>73</v>
      </c>
      <c r="C1115" s="38">
        <v>0.438</v>
      </c>
      <c r="D1115" s="39">
        <v>65.0</v>
      </c>
      <c r="E1115" s="39">
        <v>6.0</v>
      </c>
      <c r="F1115" s="39">
        <v>100.0</v>
      </c>
      <c r="G1115" s="39">
        <v>5.0</v>
      </c>
      <c r="H1115" s="39">
        <v>130.0</v>
      </c>
      <c r="I1115" s="39">
        <v>100.0</v>
      </c>
      <c r="J1115" s="39">
        <v>5.0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</row>
    <row r="1116" ht="22.5" customHeight="1">
      <c r="A1116" s="38" t="s">
        <v>76</v>
      </c>
      <c r="B1116" s="38" t="s">
        <v>75</v>
      </c>
      <c r="C1116" s="38">
        <v>39.85</v>
      </c>
      <c r="D1116" s="39">
        <v>281.0</v>
      </c>
      <c r="E1116" s="39">
        <v>73.0</v>
      </c>
      <c r="F1116" s="39">
        <v>100.0</v>
      </c>
      <c r="G1116" s="39">
        <v>29.0</v>
      </c>
      <c r="H1116" s="39">
        <v>562.0</v>
      </c>
      <c r="I1116" s="39">
        <v>100.0</v>
      </c>
      <c r="J1116" s="39">
        <v>26.0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</row>
    <row r="1117" ht="22.5" customHeight="1">
      <c r="A1117" s="38" t="s">
        <v>78</v>
      </c>
      <c r="B1117" s="38" t="s">
        <v>77</v>
      </c>
      <c r="C1117" s="38">
        <v>9.375</v>
      </c>
      <c r="D1117" s="39">
        <v>166.0</v>
      </c>
      <c r="E1117" s="39">
        <v>7.0</v>
      </c>
      <c r="F1117" s="39">
        <v>100.0</v>
      </c>
      <c r="G1117" s="39">
        <v>7.0</v>
      </c>
      <c r="H1117" s="39">
        <v>332.0</v>
      </c>
      <c r="I1117" s="39">
        <v>100.0</v>
      </c>
      <c r="J1117" s="39">
        <v>7.0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</row>
    <row r="1118" ht="22.5" customHeight="1">
      <c r="A1118" s="38" t="s">
        <v>87</v>
      </c>
      <c r="B1118" s="38" t="s">
        <v>86</v>
      </c>
      <c r="C1118" s="38">
        <v>0.156</v>
      </c>
      <c r="D1118" s="39">
        <v>35.0</v>
      </c>
      <c r="E1118" s="39">
        <v>22.0</v>
      </c>
      <c r="F1118" s="39">
        <v>100.0</v>
      </c>
      <c r="G1118" s="39">
        <v>2.0</v>
      </c>
      <c r="H1118" s="39">
        <v>154.0</v>
      </c>
      <c r="I1118" s="39">
        <v>100.0</v>
      </c>
      <c r="J1118" s="39">
        <v>2.0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</row>
    <row r="1119" ht="22.5" customHeight="1">
      <c r="A1119" s="38" t="s">
        <v>99</v>
      </c>
      <c r="B1119" s="38" t="s">
        <v>98</v>
      </c>
      <c r="C1119" s="38" t="s">
        <v>26</v>
      </c>
      <c r="D1119" s="39">
        <v>11.0</v>
      </c>
      <c r="E1119" s="39">
        <v>5.0</v>
      </c>
      <c r="F1119" s="39">
        <v>100.0</v>
      </c>
      <c r="G1119" s="39">
        <v>3.0</v>
      </c>
      <c r="H1119" s="39">
        <v>22.0</v>
      </c>
      <c r="I1119" s="39">
        <v>100.0</v>
      </c>
      <c r="J1119" s="39">
        <v>3.0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</row>
    <row r="1120" ht="22.5" customHeight="1">
      <c r="A1120" s="38" t="s">
        <v>105</v>
      </c>
      <c r="B1120" s="38" t="s">
        <v>104</v>
      </c>
      <c r="C1120" s="38">
        <v>0.015</v>
      </c>
      <c r="D1120" s="39">
        <v>28.0</v>
      </c>
      <c r="E1120" s="39">
        <v>7.0</v>
      </c>
      <c r="F1120" s="39">
        <v>100.0</v>
      </c>
      <c r="G1120" s="39">
        <v>6.0</v>
      </c>
      <c r="H1120" s="39">
        <v>56.0</v>
      </c>
      <c r="I1120" s="39">
        <v>100.0</v>
      </c>
      <c r="J1120" s="39">
        <v>5.0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</row>
    <row r="1121" ht="22.5" customHeight="1">
      <c r="A1121" s="38" t="s">
        <v>110</v>
      </c>
      <c r="B1121" s="38" t="s">
        <v>109</v>
      </c>
      <c r="C1121" s="38">
        <v>1.31</v>
      </c>
      <c r="D1121" s="39">
        <v>104.0</v>
      </c>
      <c r="E1121" s="39">
        <v>34.0</v>
      </c>
      <c r="F1121" s="39">
        <v>100.0</v>
      </c>
      <c r="G1121" s="39">
        <v>21.0</v>
      </c>
      <c r="H1121" s="39">
        <v>208.0</v>
      </c>
      <c r="I1121" s="39">
        <v>100.0</v>
      </c>
      <c r="J1121" s="39">
        <v>16.0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</row>
    <row r="1122" ht="22.5" customHeight="1">
      <c r="A1122" s="38" t="s">
        <v>112</v>
      </c>
      <c r="B1122" s="38" t="s">
        <v>111</v>
      </c>
      <c r="C1122" s="38">
        <v>10.859</v>
      </c>
      <c r="D1122" s="39">
        <v>44.0</v>
      </c>
      <c r="E1122" s="39">
        <v>17.0</v>
      </c>
      <c r="F1122" s="39">
        <v>100.0</v>
      </c>
      <c r="G1122" s="39">
        <v>8.0</v>
      </c>
      <c r="H1122" s="39">
        <v>374.0</v>
      </c>
      <c r="I1122" s="39">
        <v>100.0</v>
      </c>
      <c r="J1122" s="39">
        <v>8.0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</row>
    <row r="1123" ht="22.5" customHeight="1">
      <c r="A1123" s="38" t="s">
        <v>114</v>
      </c>
      <c r="B1123" s="38" t="s">
        <v>113</v>
      </c>
      <c r="C1123" s="38">
        <v>0.265</v>
      </c>
      <c r="D1123" s="39">
        <v>43.0</v>
      </c>
      <c r="E1123" s="39">
        <v>13.0</v>
      </c>
      <c r="F1123" s="39">
        <v>100.0</v>
      </c>
      <c r="G1123" s="39">
        <v>6.0</v>
      </c>
      <c r="H1123" s="39">
        <v>86.0</v>
      </c>
      <c r="I1123" s="39">
        <v>100.0</v>
      </c>
      <c r="J1123" s="39">
        <v>7.0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</row>
    <row r="1124" ht="22.5" customHeight="1">
      <c r="A1124" s="38" t="s">
        <v>116</v>
      </c>
      <c r="B1124" s="38" t="s">
        <v>115</v>
      </c>
      <c r="C1124" s="38">
        <v>0.062</v>
      </c>
      <c r="D1124" s="39">
        <v>29.0</v>
      </c>
      <c r="E1124" s="39">
        <v>14.0</v>
      </c>
      <c r="F1124" s="39">
        <v>100.0</v>
      </c>
      <c r="G1124" s="39">
        <v>10.0</v>
      </c>
      <c r="H1124" s="39">
        <v>58.0</v>
      </c>
      <c r="I1124" s="39">
        <v>100.0</v>
      </c>
      <c r="J1124" s="39">
        <v>11.0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</row>
    <row r="1125" ht="22.5" customHeight="1">
      <c r="A1125" s="38" t="s">
        <v>118</v>
      </c>
      <c r="B1125" s="38" t="s">
        <v>117</v>
      </c>
      <c r="C1125" s="38">
        <v>0.525</v>
      </c>
      <c r="D1125" s="39">
        <v>210.0</v>
      </c>
      <c r="E1125" s="39">
        <v>10.0</v>
      </c>
      <c r="F1125" s="39">
        <v>100.0</v>
      </c>
      <c r="G1125" s="39">
        <v>1.0</v>
      </c>
      <c r="H1125" s="39">
        <v>420.0</v>
      </c>
      <c r="I1125" s="39">
        <v>100.0</v>
      </c>
      <c r="J1125" s="39">
        <v>1.0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</row>
    <row r="1126" ht="22.5" customHeight="1">
      <c r="A1126" s="38" t="s">
        <v>125</v>
      </c>
      <c r="B1126" s="38" t="s">
        <v>124</v>
      </c>
      <c r="C1126" s="38">
        <v>0.015</v>
      </c>
      <c r="D1126" s="39">
        <v>15.0</v>
      </c>
      <c r="E1126" s="39">
        <v>10.0</v>
      </c>
      <c r="F1126" s="39">
        <v>100.0</v>
      </c>
      <c r="G1126" s="39">
        <v>4.0</v>
      </c>
      <c r="H1126" s="39">
        <v>30.0</v>
      </c>
      <c r="I1126" s="39">
        <v>100.0</v>
      </c>
      <c r="J1126" s="39">
        <v>4.0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</row>
    <row r="1127" ht="22.5" customHeight="1">
      <c r="A1127" s="38" t="s">
        <v>127</v>
      </c>
      <c r="B1127" s="38" t="s">
        <v>126</v>
      </c>
      <c r="C1127" s="38">
        <v>74.455</v>
      </c>
      <c r="D1127" s="39">
        <v>3144.0</v>
      </c>
      <c r="E1127" s="39">
        <v>8.0</v>
      </c>
      <c r="F1127" s="39">
        <v>100.0</v>
      </c>
      <c r="G1127" s="39">
        <v>8.0</v>
      </c>
      <c r="H1127" s="39">
        <v>3144.0</v>
      </c>
      <c r="I1127" s="39">
        <v>100.0</v>
      </c>
      <c r="J1127" s="39">
        <v>8.0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</row>
    <row r="1132" ht="22.5" customHeight="1">
      <c r="A1132" s="37" t="s">
        <v>2</v>
      </c>
      <c r="B1132" s="37" t="s">
        <v>1</v>
      </c>
      <c r="C1132" s="37" t="s">
        <v>128</v>
      </c>
      <c r="D1132" s="37" t="s">
        <v>3</v>
      </c>
      <c r="E1132" s="37" t="s">
        <v>4</v>
      </c>
      <c r="F1132" s="37" t="s">
        <v>129</v>
      </c>
      <c r="G1132" s="37" t="s">
        <v>130</v>
      </c>
      <c r="H1132" s="37" t="s">
        <v>131</v>
      </c>
      <c r="I1132" s="37" t="s">
        <v>132</v>
      </c>
      <c r="J1132" s="37" t="s">
        <v>133</v>
      </c>
      <c r="K1132" s="40" t="s">
        <v>134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</row>
    <row r="1133" ht="22.5" customHeight="1">
      <c r="A1133" s="38" t="s">
        <v>14</v>
      </c>
      <c r="B1133" s="38" t="s">
        <v>13</v>
      </c>
      <c r="C1133" s="38">
        <v>0.109</v>
      </c>
      <c r="D1133" s="39">
        <v>46.0</v>
      </c>
      <c r="E1133" s="39">
        <v>14.0</v>
      </c>
      <c r="F1133" s="39">
        <v>100.0</v>
      </c>
      <c r="G1133" s="39">
        <v>9.0</v>
      </c>
      <c r="H1133" s="39">
        <v>190.0</v>
      </c>
      <c r="I1133" s="39">
        <v>100.0</v>
      </c>
      <c r="J1133" s="39">
        <v>4.0</v>
      </c>
      <c r="K1133" s="41">
        <v>1.0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</row>
    <row r="1134" ht="22.5" customHeight="1">
      <c r="A1134" s="38" t="s">
        <v>29</v>
      </c>
      <c r="B1134" s="38" t="s">
        <v>28</v>
      </c>
      <c r="C1134" s="38">
        <v>0.015</v>
      </c>
      <c r="D1134" s="39">
        <v>14.0</v>
      </c>
      <c r="E1134" s="39">
        <v>5.0</v>
      </c>
      <c r="F1134" s="39">
        <v>100.0</v>
      </c>
      <c r="G1134" s="39">
        <v>3.0</v>
      </c>
      <c r="H1134" s="39">
        <v>28.0</v>
      </c>
      <c r="I1134" s="39">
        <v>100.0</v>
      </c>
      <c r="J1134" s="39">
        <v>3.0</v>
      </c>
      <c r="K1134" s="41">
        <v>2.0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</row>
    <row r="1135" ht="22.5" customHeight="1">
      <c r="A1135" s="38" t="s">
        <v>32</v>
      </c>
      <c r="B1135" s="38" t="s">
        <v>31</v>
      </c>
      <c r="C1135" s="38">
        <v>0.015</v>
      </c>
      <c r="D1135" s="39">
        <v>6.0</v>
      </c>
      <c r="E1135" s="39">
        <v>5.0</v>
      </c>
      <c r="F1135" s="39">
        <v>100.0</v>
      </c>
      <c r="G1135" s="39">
        <v>2.0</v>
      </c>
      <c r="H1135" s="39">
        <v>12.0</v>
      </c>
      <c r="I1135" s="39">
        <v>100.0</v>
      </c>
      <c r="J1135" s="39">
        <v>2.0</v>
      </c>
      <c r="K1135" s="41">
        <v>3.0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</row>
    <row r="1136" ht="22.5" customHeight="1">
      <c r="A1136" s="38" t="s">
        <v>34</v>
      </c>
      <c r="B1136" s="38" t="s">
        <v>33</v>
      </c>
      <c r="C1136" s="38">
        <v>9.593</v>
      </c>
      <c r="D1136" s="39">
        <v>307.0</v>
      </c>
      <c r="E1136" s="39">
        <v>87.0</v>
      </c>
      <c r="F1136" s="39">
        <v>100.0</v>
      </c>
      <c r="G1136" s="39">
        <v>5.0</v>
      </c>
      <c r="H1136" s="39">
        <v>1729.0</v>
      </c>
      <c r="I1136" s="39">
        <v>100.0</v>
      </c>
      <c r="J1136" s="39">
        <v>4.0</v>
      </c>
      <c r="K1136" s="41">
        <v>4.0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</row>
    <row r="1137" ht="22.5" customHeight="1">
      <c r="A1137" s="38" t="s">
        <v>36</v>
      </c>
      <c r="B1137" s="38" t="s">
        <v>35</v>
      </c>
      <c r="C1137" s="38">
        <v>0.657</v>
      </c>
      <c r="D1137" s="39">
        <v>20.0</v>
      </c>
      <c r="E1137" s="39">
        <v>16.0</v>
      </c>
      <c r="F1137" s="39">
        <v>100.0</v>
      </c>
      <c r="G1137" s="39">
        <v>2.0</v>
      </c>
      <c r="H1137" s="39">
        <v>120.0</v>
      </c>
      <c r="I1137" s="39">
        <v>100.0</v>
      </c>
      <c r="J1137" s="39">
        <v>1.0</v>
      </c>
      <c r="K1137" s="41">
        <v>5.0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</row>
    <row r="1138" ht="22.5" customHeight="1">
      <c r="A1138" s="38" t="s">
        <v>42</v>
      </c>
      <c r="B1138" s="38" t="s">
        <v>41</v>
      </c>
      <c r="C1138" s="38">
        <v>0.828</v>
      </c>
      <c r="D1138" s="39">
        <v>78.0</v>
      </c>
      <c r="E1138" s="39">
        <v>39.0</v>
      </c>
      <c r="F1138" s="39">
        <v>100.0</v>
      </c>
      <c r="G1138" s="39">
        <v>3.0</v>
      </c>
      <c r="H1138" s="39">
        <v>351.0</v>
      </c>
      <c r="I1138" s="39">
        <v>100.0</v>
      </c>
      <c r="J1138" s="39">
        <v>2.0</v>
      </c>
      <c r="K1138" s="41">
        <v>6.0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</row>
    <row r="1139" ht="22.5" customHeight="1">
      <c r="A1139" s="38" t="s">
        <v>40</v>
      </c>
      <c r="B1139" s="38" t="s">
        <v>39</v>
      </c>
      <c r="C1139" s="38">
        <v>0.062</v>
      </c>
      <c r="D1139" s="39">
        <v>19.0</v>
      </c>
      <c r="E1139" s="39">
        <v>12.0</v>
      </c>
      <c r="F1139" s="39">
        <v>100.0</v>
      </c>
      <c r="G1139" s="39">
        <v>2.0</v>
      </c>
      <c r="H1139" s="39">
        <v>190.0</v>
      </c>
      <c r="I1139" s="39">
        <v>100.0</v>
      </c>
      <c r="J1139" s="39">
        <v>2.0</v>
      </c>
      <c r="K1139" s="41">
        <v>7.0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</row>
    <row r="1140" ht="22.5" customHeight="1">
      <c r="A1140" s="38" t="s">
        <v>50</v>
      </c>
      <c r="B1140" s="38" t="s">
        <v>49</v>
      </c>
      <c r="C1140" s="38">
        <v>0.109</v>
      </c>
      <c r="D1140" s="39">
        <v>153.0</v>
      </c>
      <c r="E1140" s="39">
        <v>45.0</v>
      </c>
      <c r="F1140" s="39">
        <v>100.0</v>
      </c>
      <c r="G1140" s="39">
        <v>2.0</v>
      </c>
      <c r="H1140" s="39">
        <v>990.0</v>
      </c>
      <c r="I1140" s="39">
        <v>100.0</v>
      </c>
      <c r="J1140" s="39">
        <v>1.0</v>
      </c>
      <c r="K1140" s="41">
        <v>8.0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</row>
    <row r="1141" ht="22.5" customHeight="1">
      <c r="A1141" s="38" t="s">
        <v>48</v>
      </c>
      <c r="B1141" s="38" t="s">
        <v>47</v>
      </c>
      <c r="C1141" s="38">
        <v>12.178</v>
      </c>
      <c r="D1141" s="39">
        <v>132.0</v>
      </c>
      <c r="E1141" s="39">
        <v>15.0</v>
      </c>
      <c r="F1141" s="39">
        <v>100.0</v>
      </c>
      <c r="G1141" s="39">
        <v>8.0</v>
      </c>
      <c r="H1141" s="39">
        <v>308.0</v>
      </c>
      <c r="I1141" s="39">
        <v>100.0</v>
      </c>
      <c r="J1141" s="39">
        <v>15.0</v>
      </c>
      <c r="K1141" s="41">
        <v>9.0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</row>
    <row r="1142" ht="22.5" customHeight="1">
      <c r="A1142" s="38" t="s">
        <v>61</v>
      </c>
      <c r="B1142" s="38" t="s">
        <v>60</v>
      </c>
      <c r="C1142" s="38">
        <v>0.015</v>
      </c>
      <c r="D1142" s="39">
        <v>11.0</v>
      </c>
      <c r="E1142" s="39">
        <v>4.0</v>
      </c>
      <c r="F1142" s="39">
        <v>100.0</v>
      </c>
      <c r="G1142" s="39">
        <v>2.0</v>
      </c>
      <c r="H1142" s="39">
        <v>22.0</v>
      </c>
      <c r="I1142" s="39">
        <v>100.0</v>
      </c>
      <c r="J1142" s="39">
        <v>2.0</v>
      </c>
      <c r="K1142" s="41">
        <v>10.0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</row>
    <row r="1143" ht="22.5" customHeight="1">
      <c r="A1143" s="38" t="s">
        <v>70</v>
      </c>
      <c r="B1143" s="38" t="s">
        <v>69</v>
      </c>
      <c r="C1143" s="38">
        <v>0.015</v>
      </c>
      <c r="D1143" s="39">
        <v>24.0</v>
      </c>
      <c r="E1143" s="39">
        <v>5.0</v>
      </c>
      <c r="F1143" s="39">
        <v>100.0</v>
      </c>
      <c r="G1143" s="39">
        <v>4.0</v>
      </c>
      <c r="H1143" s="39">
        <v>48.0</v>
      </c>
      <c r="I1143" s="39">
        <v>100.0</v>
      </c>
      <c r="J1143" s="39">
        <v>4.0</v>
      </c>
      <c r="K1143" s="41">
        <v>11.0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</row>
    <row r="1144" ht="22.5" customHeight="1">
      <c r="A1144" s="38" t="s">
        <v>72</v>
      </c>
      <c r="B1144" s="38" t="s">
        <v>71</v>
      </c>
      <c r="C1144" s="38">
        <v>5.76</v>
      </c>
      <c r="D1144" s="39">
        <v>159.0</v>
      </c>
      <c r="E1144" s="39">
        <v>46.0</v>
      </c>
      <c r="F1144" s="39">
        <v>100.0</v>
      </c>
      <c r="G1144" s="39">
        <v>9.0</v>
      </c>
      <c r="H1144" s="39">
        <v>1035.0</v>
      </c>
      <c r="I1144" s="39">
        <v>100.0</v>
      </c>
      <c r="J1144" s="39">
        <v>9.0</v>
      </c>
      <c r="K1144" s="41">
        <v>12.0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</row>
    <row r="1145" ht="22.5" customHeight="1">
      <c r="A1145" s="38" t="s">
        <v>74</v>
      </c>
      <c r="B1145" s="38" t="s">
        <v>73</v>
      </c>
      <c r="C1145" s="38">
        <v>0.438</v>
      </c>
      <c r="D1145" s="39">
        <v>65.0</v>
      </c>
      <c r="E1145" s="39">
        <v>6.0</v>
      </c>
      <c r="F1145" s="39">
        <v>100.0</v>
      </c>
      <c r="G1145" s="39">
        <v>5.0</v>
      </c>
      <c r="H1145" s="39">
        <v>130.0</v>
      </c>
      <c r="I1145" s="39">
        <v>100.0</v>
      </c>
      <c r="J1145" s="39">
        <v>5.0</v>
      </c>
      <c r="K1145" s="41">
        <v>13.0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</row>
    <row r="1146" ht="22.5" customHeight="1">
      <c r="A1146" s="38" t="s">
        <v>76</v>
      </c>
      <c r="B1146" s="38" t="s">
        <v>75</v>
      </c>
      <c r="C1146" s="38">
        <v>39.85</v>
      </c>
      <c r="D1146" s="39">
        <v>281.0</v>
      </c>
      <c r="E1146" s="39">
        <v>73.0</v>
      </c>
      <c r="F1146" s="39">
        <v>100.0</v>
      </c>
      <c r="G1146" s="39">
        <v>29.0</v>
      </c>
      <c r="H1146" s="39">
        <v>2628.0</v>
      </c>
      <c r="I1146" s="39">
        <v>100.0</v>
      </c>
      <c r="J1146" s="39">
        <v>26.0</v>
      </c>
      <c r="K1146" s="41">
        <v>14.0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</row>
    <row r="1147" ht="22.5" customHeight="1">
      <c r="A1147" s="38" t="s">
        <v>78</v>
      </c>
      <c r="B1147" s="38" t="s">
        <v>77</v>
      </c>
      <c r="C1147" s="38">
        <v>9.375</v>
      </c>
      <c r="D1147" s="39">
        <v>166.0</v>
      </c>
      <c r="E1147" s="39">
        <v>7.0</v>
      </c>
      <c r="F1147" s="39">
        <v>100.0</v>
      </c>
      <c r="G1147" s="39">
        <v>7.0</v>
      </c>
      <c r="H1147" s="39">
        <v>332.0</v>
      </c>
      <c r="I1147" s="39">
        <v>100.0</v>
      </c>
      <c r="J1147" s="39">
        <v>7.0</v>
      </c>
      <c r="K1147" s="41">
        <v>15.0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 ht="22.5" customHeight="1">
      <c r="A1148" s="38" t="s">
        <v>87</v>
      </c>
      <c r="B1148" s="38" t="s">
        <v>86</v>
      </c>
      <c r="C1148" s="38">
        <v>0.156</v>
      </c>
      <c r="D1148" s="39">
        <v>35.0</v>
      </c>
      <c r="E1148" s="39">
        <v>22.0</v>
      </c>
      <c r="F1148" s="39">
        <v>100.0</v>
      </c>
      <c r="G1148" s="39">
        <v>2.0</v>
      </c>
      <c r="H1148" s="39">
        <v>231.0</v>
      </c>
      <c r="I1148" s="39">
        <v>100.0</v>
      </c>
      <c r="J1148" s="39">
        <v>2.0</v>
      </c>
      <c r="K1148" s="41">
        <v>16.0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</row>
    <row r="1149" ht="22.5" customHeight="1">
      <c r="A1149" s="38" t="s">
        <v>99</v>
      </c>
      <c r="B1149" s="38" t="s">
        <v>98</v>
      </c>
      <c r="C1149" s="38" t="s">
        <v>26</v>
      </c>
      <c r="D1149" s="39">
        <v>11.0</v>
      </c>
      <c r="E1149" s="39">
        <v>5.0</v>
      </c>
      <c r="F1149" s="39">
        <v>100.0</v>
      </c>
      <c r="G1149" s="39">
        <v>3.0</v>
      </c>
      <c r="H1149" s="39">
        <v>22.0</v>
      </c>
      <c r="I1149" s="39">
        <v>100.0</v>
      </c>
      <c r="J1149" s="39">
        <v>3.0</v>
      </c>
      <c r="K1149" s="41">
        <v>17.0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 ht="22.5" customHeight="1">
      <c r="A1150" s="38" t="s">
        <v>105</v>
      </c>
      <c r="B1150" s="38" t="s">
        <v>104</v>
      </c>
      <c r="C1150" s="38">
        <v>0.015</v>
      </c>
      <c r="D1150" s="39">
        <v>28.0</v>
      </c>
      <c r="E1150" s="39">
        <v>7.0</v>
      </c>
      <c r="F1150" s="39">
        <v>100.0</v>
      </c>
      <c r="G1150" s="39">
        <v>6.0</v>
      </c>
      <c r="H1150" s="39">
        <v>56.0</v>
      </c>
      <c r="I1150" s="39">
        <v>100.0</v>
      </c>
      <c r="J1150" s="39">
        <v>5.0</v>
      </c>
      <c r="K1150" s="41">
        <v>18.0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</row>
    <row r="1151" ht="22.5" customHeight="1">
      <c r="A1151" s="38" t="s">
        <v>110</v>
      </c>
      <c r="B1151" s="38" t="s">
        <v>109</v>
      </c>
      <c r="C1151" s="38">
        <v>1.31</v>
      </c>
      <c r="D1151" s="39">
        <v>104.0</v>
      </c>
      <c r="E1151" s="39">
        <v>34.0</v>
      </c>
      <c r="F1151" s="39">
        <v>100.0</v>
      </c>
      <c r="G1151" s="39">
        <v>21.0</v>
      </c>
      <c r="H1151" s="39">
        <v>561.0</v>
      </c>
      <c r="I1151" s="39">
        <v>100.0</v>
      </c>
      <c r="J1151" s="39">
        <v>16.0</v>
      </c>
      <c r="K1151" s="41">
        <v>19.0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</row>
    <row r="1152" ht="22.5" customHeight="1">
      <c r="A1152" s="38" t="s">
        <v>112</v>
      </c>
      <c r="B1152" s="38" t="s">
        <v>111</v>
      </c>
      <c r="C1152" s="38">
        <v>10.859</v>
      </c>
      <c r="D1152" s="39">
        <v>44.0</v>
      </c>
      <c r="E1152" s="39">
        <v>17.0</v>
      </c>
      <c r="F1152" s="39">
        <v>100.0</v>
      </c>
      <c r="G1152" s="39">
        <v>8.0</v>
      </c>
      <c r="H1152" s="39">
        <v>374.0</v>
      </c>
      <c r="I1152" s="39">
        <v>100.0</v>
      </c>
      <c r="J1152" s="39">
        <v>8.0</v>
      </c>
      <c r="K1152" s="41">
        <v>20.0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</row>
    <row r="1153" ht="22.5" customHeight="1">
      <c r="A1153" s="38" t="s">
        <v>114</v>
      </c>
      <c r="B1153" s="38" t="s">
        <v>113</v>
      </c>
      <c r="C1153" s="38">
        <v>0.265</v>
      </c>
      <c r="D1153" s="39">
        <v>43.0</v>
      </c>
      <c r="E1153" s="39">
        <v>13.0</v>
      </c>
      <c r="F1153" s="39">
        <v>100.0</v>
      </c>
      <c r="G1153" s="39">
        <v>6.0</v>
      </c>
      <c r="H1153" s="39">
        <v>86.0</v>
      </c>
      <c r="I1153" s="39">
        <v>100.0</v>
      </c>
      <c r="J1153" s="39">
        <v>7.0</v>
      </c>
      <c r="K1153" s="41">
        <v>21.0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</row>
    <row r="1154" ht="22.5" customHeight="1">
      <c r="A1154" s="38" t="s">
        <v>116</v>
      </c>
      <c r="B1154" s="38" t="s">
        <v>115</v>
      </c>
      <c r="C1154" s="38">
        <v>0.062</v>
      </c>
      <c r="D1154" s="39">
        <v>29.0</v>
      </c>
      <c r="E1154" s="39">
        <v>14.0</v>
      </c>
      <c r="F1154" s="39">
        <v>100.0</v>
      </c>
      <c r="G1154" s="39">
        <v>10.0</v>
      </c>
      <c r="H1154" s="39">
        <v>58.0</v>
      </c>
      <c r="I1154" s="39">
        <v>100.0</v>
      </c>
      <c r="J1154" s="39">
        <v>11.0</v>
      </c>
      <c r="K1154" s="41">
        <v>22.0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 ht="22.5" customHeight="1">
      <c r="A1155" s="38" t="s">
        <v>118</v>
      </c>
      <c r="B1155" s="38" t="s">
        <v>117</v>
      </c>
      <c r="C1155" s="38">
        <v>0.525</v>
      </c>
      <c r="D1155" s="39">
        <v>210.0</v>
      </c>
      <c r="E1155" s="39">
        <v>10.0</v>
      </c>
      <c r="F1155" s="39">
        <v>100.0</v>
      </c>
      <c r="G1155" s="39">
        <v>1.0</v>
      </c>
      <c r="H1155" s="39">
        <v>420.0</v>
      </c>
      <c r="I1155" s="39">
        <v>100.0</v>
      </c>
      <c r="J1155" s="39">
        <v>1.0</v>
      </c>
      <c r="K1155" s="41">
        <v>23.0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</row>
    <row r="1156" ht="22.5" customHeight="1">
      <c r="A1156" s="38" t="s">
        <v>125</v>
      </c>
      <c r="B1156" s="38" t="s">
        <v>124</v>
      </c>
      <c r="C1156" s="38">
        <v>0.015</v>
      </c>
      <c r="D1156" s="39">
        <v>15.0</v>
      </c>
      <c r="E1156" s="39">
        <v>10.0</v>
      </c>
      <c r="F1156" s="39">
        <v>100.0</v>
      </c>
      <c r="G1156" s="39">
        <v>4.0</v>
      </c>
      <c r="H1156" s="39">
        <v>30.0</v>
      </c>
      <c r="I1156" s="39">
        <v>100.0</v>
      </c>
      <c r="J1156" s="39">
        <v>4.0</v>
      </c>
      <c r="K1156" s="41">
        <v>24.0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</row>
    <row r="1157" ht="22.5" customHeight="1">
      <c r="A1157" s="38" t="s">
        <v>127</v>
      </c>
      <c r="B1157" s="38" t="s">
        <v>126</v>
      </c>
      <c r="C1157" s="38">
        <v>74.455</v>
      </c>
      <c r="D1157" s="39">
        <v>3144.0</v>
      </c>
      <c r="E1157" s="39">
        <v>8.0</v>
      </c>
      <c r="F1157" s="39">
        <v>100.0</v>
      </c>
      <c r="G1157" s="39">
        <v>8.0</v>
      </c>
      <c r="H1157" s="39">
        <v>3144.0</v>
      </c>
      <c r="I1157" s="39">
        <v>100.0</v>
      </c>
      <c r="J1157" s="39">
        <v>8.0</v>
      </c>
      <c r="K1157" s="41">
        <v>25.0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2" t="s">
        <v>18</v>
      </c>
      <c r="J1164" s="42" t="s">
        <v>135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</row>
    <row r="1165">
      <c r="A1165" s="4"/>
      <c r="B1165" s="4"/>
      <c r="C1165" s="42" t="s">
        <v>16</v>
      </c>
      <c r="D1165" s="4"/>
      <c r="E1165" s="4"/>
      <c r="F1165" s="42" t="s">
        <v>17</v>
      </c>
      <c r="G1165" s="42"/>
      <c r="H1165" s="4"/>
      <c r="I1165" s="42" t="s">
        <v>16</v>
      </c>
      <c r="J1165" s="42" t="s">
        <v>17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</row>
    <row r="1170">
      <c r="A1170" s="42"/>
      <c r="B1170" s="4"/>
      <c r="C1170" s="42"/>
      <c r="D1170" s="4"/>
      <c r="E1170" s="4"/>
      <c r="F1170" s="42"/>
      <c r="G1170" s="42"/>
      <c r="H1170" s="4"/>
      <c r="I1170" s="4"/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"/>
      <c r="Y1170" s="4"/>
    </row>
    <row r="1171" ht="22.5" customHeight="1">
      <c r="A1171" s="5" t="s">
        <v>136</v>
      </c>
      <c r="B1171" s="5" t="s">
        <v>137</v>
      </c>
      <c r="C1171" s="5" t="s">
        <v>138</v>
      </c>
      <c r="D1171" s="5" t="s">
        <v>139</v>
      </c>
      <c r="E1171" s="5" t="s">
        <v>140</v>
      </c>
      <c r="F1171" s="5" t="s">
        <v>136</v>
      </c>
      <c r="G1171" s="5" t="s">
        <v>141</v>
      </c>
      <c r="H1171" s="5" t="s">
        <v>142</v>
      </c>
      <c r="I1171" s="5" t="s">
        <v>131</v>
      </c>
      <c r="J1171" s="5" t="s">
        <v>141</v>
      </c>
      <c r="K1171" s="5" t="s">
        <v>131</v>
      </c>
      <c r="L1171" s="5" t="s">
        <v>141</v>
      </c>
      <c r="M1171" s="5" t="s">
        <v>138</v>
      </c>
      <c r="N1171" s="5" t="s">
        <v>136</v>
      </c>
      <c r="O1171" s="5" t="s">
        <v>141</v>
      </c>
      <c r="P1171" s="5" t="s">
        <v>138</v>
      </c>
      <c r="Q1171" s="5" t="s">
        <v>136</v>
      </c>
      <c r="R1171" s="43" t="s">
        <v>0</v>
      </c>
      <c r="S1171" s="4"/>
      <c r="T1171" s="4"/>
      <c r="U1171" s="4"/>
      <c r="V1171" s="4"/>
      <c r="W1171" s="4"/>
      <c r="X1171" s="4"/>
      <c r="Y1171" s="4"/>
    </row>
    <row r="1172" ht="22.5" customHeight="1">
      <c r="A1172" s="44">
        <v>0.062</v>
      </c>
      <c r="B1172" s="5">
        <v>410184.0</v>
      </c>
      <c r="C1172" s="44">
        <v>4.0</v>
      </c>
      <c r="D1172" s="5" t="s">
        <v>143</v>
      </c>
      <c r="E1172" s="44">
        <v>46.0</v>
      </c>
      <c r="F1172" s="44">
        <v>0.078</v>
      </c>
      <c r="G1172" s="44">
        <v>100.0</v>
      </c>
      <c r="H1172" s="44">
        <v>14.0</v>
      </c>
      <c r="I1172" s="44">
        <v>49.0</v>
      </c>
      <c r="J1172" s="44">
        <v>100.0</v>
      </c>
      <c r="K1172" s="44">
        <v>46.0</v>
      </c>
      <c r="L1172" s="44">
        <v>100.0</v>
      </c>
      <c r="M1172" s="44">
        <v>5.0</v>
      </c>
      <c r="N1172" s="44">
        <v>0.062</v>
      </c>
      <c r="O1172" s="44">
        <v>100.0</v>
      </c>
      <c r="P1172" s="44">
        <v>4.0</v>
      </c>
      <c r="Q1172" s="44">
        <v>0.063</v>
      </c>
      <c r="R1172" s="43">
        <v>1.0</v>
      </c>
      <c r="S1172" s="42"/>
      <c r="T1172" s="42"/>
      <c r="U1172" s="42"/>
      <c r="V1172" s="42"/>
      <c r="W1172" s="42"/>
      <c r="X1172" s="4"/>
      <c r="Y1172" s="4"/>
    </row>
    <row r="1173" ht="22.5" customHeight="1">
      <c r="A1173" s="44">
        <v>0.015</v>
      </c>
      <c r="B1173" s="5" t="s">
        <v>144</v>
      </c>
      <c r="C1173" s="44">
        <v>3.0</v>
      </c>
      <c r="D1173" s="5" t="s">
        <v>145</v>
      </c>
      <c r="E1173" s="44">
        <v>14.0</v>
      </c>
      <c r="F1173" s="44">
        <v>0.015</v>
      </c>
      <c r="G1173" s="44">
        <v>100.0</v>
      </c>
      <c r="H1173" s="44">
        <v>5.0</v>
      </c>
      <c r="I1173" s="44">
        <v>20.0</v>
      </c>
      <c r="J1173" s="44">
        <v>100.0</v>
      </c>
      <c r="K1173" s="44">
        <v>14.0</v>
      </c>
      <c r="L1173" s="44">
        <v>100.0</v>
      </c>
      <c r="M1173" s="44">
        <v>3.0</v>
      </c>
      <c r="N1173" s="44">
        <v>0.11</v>
      </c>
      <c r="O1173" s="44">
        <v>100.0</v>
      </c>
      <c r="P1173" s="44">
        <v>2.0</v>
      </c>
      <c r="Q1173" s="5" t="s">
        <v>26</v>
      </c>
      <c r="R1173" s="43">
        <v>2.0</v>
      </c>
      <c r="S1173" s="42"/>
      <c r="T1173" s="42"/>
      <c r="U1173" s="42"/>
      <c r="V1173" s="42"/>
      <c r="W1173" s="42"/>
      <c r="X1173" s="4"/>
      <c r="Y1173" s="4"/>
    </row>
    <row r="1174" ht="22.5" customHeight="1">
      <c r="A1174" s="5" t="s">
        <v>146</v>
      </c>
      <c r="B1174" s="5" t="s">
        <v>147</v>
      </c>
      <c r="C1174" s="44">
        <v>2.0</v>
      </c>
      <c r="D1174" s="5" t="s">
        <v>148</v>
      </c>
      <c r="E1174" s="44">
        <v>6.0</v>
      </c>
      <c r="F1174" s="44">
        <v>0.015</v>
      </c>
      <c r="G1174" s="44">
        <v>100.0</v>
      </c>
      <c r="H1174" s="44">
        <v>5.0</v>
      </c>
      <c r="I1174" s="44">
        <v>8.0</v>
      </c>
      <c r="J1174" s="44">
        <v>100.0</v>
      </c>
      <c r="K1174" s="44">
        <v>6.0</v>
      </c>
      <c r="L1174" s="44">
        <v>100.0</v>
      </c>
      <c r="M1174" s="44">
        <v>2.0</v>
      </c>
      <c r="N1174" s="44">
        <v>0.015</v>
      </c>
      <c r="O1174" s="44">
        <v>100.0</v>
      </c>
      <c r="P1174" s="44">
        <v>2.0</v>
      </c>
      <c r="Q1174" s="44">
        <v>0.015</v>
      </c>
      <c r="R1174" s="43">
        <v>3.0</v>
      </c>
      <c r="S1174" s="42"/>
      <c r="T1174" s="42"/>
      <c r="U1174" s="42"/>
      <c r="V1174" s="42"/>
      <c r="W1174" s="42"/>
      <c r="X1174" s="4"/>
      <c r="Y1174" s="4"/>
    </row>
    <row r="1175" ht="22.5" customHeight="1">
      <c r="A1175" s="44">
        <v>16.406</v>
      </c>
      <c r="B1175" s="5" t="s">
        <v>149</v>
      </c>
      <c r="C1175" s="44">
        <v>4.0</v>
      </c>
      <c r="D1175" s="5" t="s">
        <v>150</v>
      </c>
      <c r="E1175" s="44">
        <v>307.0</v>
      </c>
      <c r="F1175" s="44">
        <v>9.593</v>
      </c>
      <c r="G1175" s="44">
        <v>100.0</v>
      </c>
      <c r="H1175" s="44">
        <v>87.0</v>
      </c>
      <c r="I1175" s="44">
        <v>307.0</v>
      </c>
      <c r="J1175" s="44">
        <v>100.0</v>
      </c>
      <c r="K1175" s="44">
        <v>432.0</v>
      </c>
      <c r="L1175" s="44">
        <v>100.0</v>
      </c>
      <c r="M1175" s="44">
        <v>4.0</v>
      </c>
      <c r="N1175" s="44">
        <v>3.5</v>
      </c>
      <c r="O1175" s="44">
        <v>100.0</v>
      </c>
      <c r="P1175" s="44">
        <v>5.0</v>
      </c>
      <c r="Q1175" s="44">
        <v>6.421</v>
      </c>
      <c r="R1175" s="43">
        <v>4.0</v>
      </c>
      <c r="S1175" s="42"/>
      <c r="T1175" s="42"/>
      <c r="U1175" s="42"/>
      <c r="V1175" s="42"/>
      <c r="W1175" s="42"/>
      <c r="X1175" s="4"/>
      <c r="Y1175" s="4"/>
    </row>
    <row r="1176" ht="22.5" customHeight="1">
      <c r="A1176" s="44">
        <v>0.453</v>
      </c>
      <c r="B1176" s="5" t="s">
        <v>151</v>
      </c>
      <c r="C1176" s="44">
        <v>2.0</v>
      </c>
      <c r="D1176" s="5" t="s">
        <v>152</v>
      </c>
      <c r="E1176" s="44">
        <v>20.0</v>
      </c>
      <c r="F1176" s="44">
        <v>0.078</v>
      </c>
      <c r="G1176" s="44">
        <v>100.0</v>
      </c>
      <c r="H1176" s="44">
        <v>16.0</v>
      </c>
      <c r="I1176" s="44">
        <v>40.0</v>
      </c>
      <c r="J1176" s="44">
        <v>100.0</v>
      </c>
      <c r="K1176" s="44">
        <v>20.0</v>
      </c>
      <c r="L1176" s="44">
        <v>100.0</v>
      </c>
      <c r="M1176" s="44">
        <v>2.0</v>
      </c>
      <c r="N1176" s="44">
        <v>0.594</v>
      </c>
      <c r="O1176" s="44">
        <v>100.0</v>
      </c>
      <c r="P1176" s="44">
        <v>2.0</v>
      </c>
      <c r="Q1176" s="44">
        <v>0.328</v>
      </c>
      <c r="R1176" s="43">
        <v>5.0</v>
      </c>
      <c r="S1176" s="42"/>
      <c r="T1176" s="42"/>
      <c r="U1176" s="42"/>
      <c r="V1176" s="42"/>
      <c r="W1176" s="42"/>
      <c r="X1176" s="4"/>
      <c r="Y1176" s="4"/>
    </row>
    <row r="1177" ht="22.5" customHeight="1">
      <c r="A1177" s="44">
        <v>1.203</v>
      </c>
      <c r="B1177" s="5" t="s">
        <v>153</v>
      </c>
      <c r="C1177" s="44">
        <v>2.0</v>
      </c>
      <c r="D1177" s="5" t="s">
        <v>154</v>
      </c>
      <c r="E1177" s="44">
        <v>78.0</v>
      </c>
      <c r="F1177" s="44">
        <v>0.828</v>
      </c>
      <c r="G1177" s="44">
        <v>100.0</v>
      </c>
      <c r="H1177" s="44">
        <v>39.0</v>
      </c>
      <c r="I1177" s="44">
        <v>78.0</v>
      </c>
      <c r="J1177" s="44">
        <v>100.0</v>
      </c>
      <c r="K1177" s="44">
        <v>98.0</v>
      </c>
      <c r="L1177" s="44">
        <v>100.0</v>
      </c>
      <c r="M1177" s="44">
        <v>1.0</v>
      </c>
      <c r="N1177" s="44">
        <v>0.09</v>
      </c>
      <c r="O1177" s="44">
        <v>100.0</v>
      </c>
      <c r="P1177" s="44">
        <v>2.0</v>
      </c>
      <c r="Q1177" s="44">
        <v>6.143</v>
      </c>
      <c r="R1177" s="43">
        <v>6.0</v>
      </c>
      <c r="S1177" s="42"/>
      <c r="T1177" s="42"/>
      <c r="U1177" s="42"/>
      <c r="V1177" s="42"/>
      <c r="W1177" s="42"/>
      <c r="X1177" s="4"/>
      <c r="Y1177" s="4"/>
    </row>
    <row r="1178" ht="22.5" customHeight="1">
      <c r="A1178" s="44">
        <v>0.07</v>
      </c>
      <c r="B1178" s="5" t="s">
        <v>153</v>
      </c>
      <c r="C1178" s="44">
        <v>2.0</v>
      </c>
      <c r="D1178" s="5" t="s">
        <v>155</v>
      </c>
      <c r="E1178" s="44">
        <v>19.0</v>
      </c>
      <c r="F1178" s="44">
        <v>0.062</v>
      </c>
      <c r="G1178" s="44">
        <v>100.0</v>
      </c>
      <c r="H1178" s="44">
        <v>12.0</v>
      </c>
      <c r="I1178" s="44">
        <v>100.0</v>
      </c>
      <c r="J1178" s="44">
        <v>100.0</v>
      </c>
      <c r="K1178" s="44">
        <v>19.0</v>
      </c>
      <c r="L1178" s="44">
        <v>100.0</v>
      </c>
      <c r="M1178" s="44">
        <v>2.0</v>
      </c>
      <c r="N1178" s="44">
        <v>0.062</v>
      </c>
      <c r="O1178" s="44">
        <v>100.0</v>
      </c>
      <c r="P1178" s="44">
        <v>2.0</v>
      </c>
      <c r="Q1178" s="44">
        <v>0.201</v>
      </c>
      <c r="R1178" s="43">
        <v>7.0</v>
      </c>
      <c r="S1178" s="42"/>
      <c r="T1178" s="42"/>
      <c r="U1178" s="42"/>
      <c r="V1178" s="42"/>
      <c r="W1178" s="42"/>
      <c r="X1178" s="4"/>
      <c r="Y1178" s="4"/>
    </row>
    <row r="1179" ht="22.5" customHeight="1">
      <c r="A1179" s="44">
        <v>4.48</v>
      </c>
      <c r="B1179" s="5" t="s">
        <v>156</v>
      </c>
      <c r="C1179" s="44">
        <v>1.0</v>
      </c>
      <c r="D1179" s="5" t="s">
        <v>157</v>
      </c>
      <c r="E1179" s="44">
        <v>153.0</v>
      </c>
      <c r="F1179" s="44">
        <v>0.109</v>
      </c>
      <c r="G1179" s="44">
        <v>100.0</v>
      </c>
      <c r="H1179" s="44">
        <v>45.0</v>
      </c>
      <c r="I1179" s="44">
        <v>153.0</v>
      </c>
      <c r="J1179" s="44">
        <v>100.0</v>
      </c>
      <c r="K1179" s="44">
        <v>157.0</v>
      </c>
      <c r="L1179" s="44">
        <v>100.0</v>
      </c>
      <c r="M1179" s="44">
        <v>1.0</v>
      </c>
      <c r="N1179" s="44">
        <v>0.09</v>
      </c>
      <c r="O1179" s="44">
        <v>100.0</v>
      </c>
      <c r="P1179" s="44">
        <v>2.0</v>
      </c>
      <c r="Q1179" s="44">
        <v>4.142</v>
      </c>
      <c r="R1179" s="43">
        <v>8.0</v>
      </c>
      <c r="S1179" s="42"/>
      <c r="T1179" s="42"/>
      <c r="U1179" s="42"/>
      <c r="V1179" s="42"/>
      <c r="W1179" s="42"/>
      <c r="X1179" s="4"/>
      <c r="Y1179" s="4"/>
    </row>
    <row r="1180" ht="22.5" customHeight="1">
      <c r="A1180" s="44">
        <v>45.348</v>
      </c>
      <c r="B1180" s="5" t="s">
        <v>47</v>
      </c>
      <c r="C1180" s="44">
        <v>15.0</v>
      </c>
      <c r="D1180" s="31"/>
      <c r="E1180" s="44">
        <v>132.0</v>
      </c>
      <c r="F1180" s="44">
        <v>12.178</v>
      </c>
      <c r="G1180" s="44">
        <v>93.18</v>
      </c>
      <c r="H1180" s="44">
        <v>15.0</v>
      </c>
      <c r="I1180" s="44">
        <v>352.0</v>
      </c>
      <c r="J1180" s="44">
        <v>95.74</v>
      </c>
      <c r="K1180" s="44">
        <v>132.0</v>
      </c>
      <c r="L1180" s="44">
        <v>96.97</v>
      </c>
      <c r="M1180" s="44">
        <v>14.0</v>
      </c>
      <c r="N1180" s="44">
        <v>4.851</v>
      </c>
      <c r="O1180" s="44">
        <v>98.48</v>
      </c>
      <c r="P1180" s="44">
        <v>9.0</v>
      </c>
      <c r="Q1180" s="44">
        <v>24.455</v>
      </c>
      <c r="R1180" s="43">
        <v>9.0</v>
      </c>
      <c r="S1180" s="42"/>
      <c r="T1180" s="42"/>
      <c r="U1180" s="42"/>
      <c r="V1180" s="42"/>
      <c r="W1180" s="42"/>
      <c r="X1180" s="4"/>
      <c r="Y1180" s="4"/>
    </row>
    <row r="1181" ht="22.5" customHeight="1">
      <c r="A1181" s="44">
        <v>0.015</v>
      </c>
      <c r="B1181" s="5" t="s">
        <v>158</v>
      </c>
      <c r="C1181" s="44">
        <v>2.0</v>
      </c>
      <c r="D1181" s="5" t="s">
        <v>159</v>
      </c>
      <c r="E1181" s="44">
        <v>11.0</v>
      </c>
      <c r="F1181" s="44">
        <v>0.015</v>
      </c>
      <c r="G1181" s="44">
        <v>100.0</v>
      </c>
      <c r="H1181" s="44">
        <v>4.0</v>
      </c>
      <c r="I1181" s="44">
        <v>10.0</v>
      </c>
      <c r="J1181" s="44">
        <v>100.0</v>
      </c>
      <c r="K1181" s="44">
        <v>11.0</v>
      </c>
      <c r="L1181" s="44">
        <v>100.0</v>
      </c>
      <c r="M1181" s="44">
        <v>2.0</v>
      </c>
      <c r="N1181" s="44">
        <v>0.015</v>
      </c>
      <c r="O1181" s="44">
        <v>100.0</v>
      </c>
      <c r="P1181" s="44">
        <v>2.0</v>
      </c>
      <c r="Q1181" s="44">
        <v>0.015</v>
      </c>
      <c r="R1181" s="43">
        <v>10.0</v>
      </c>
      <c r="S1181" s="42"/>
      <c r="T1181" s="42"/>
      <c r="U1181" s="42"/>
      <c r="V1181" s="42"/>
      <c r="W1181" s="42"/>
      <c r="X1181" s="4"/>
      <c r="Y1181" s="4"/>
    </row>
    <row r="1182" ht="22.5" customHeight="1">
      <c r="A1182" s="44">
        <v>0.125</v>
      </c>
      <c r="B1182" s="5" t="s">
        <v>160</v>
      </c>
      <c r="C1182" s="44">
        <v>4.0</v>
      </c>
      <c r="D1182" s="5" t="s">
        <v>161</v>
      </c>
      <c r="E1182" s="44">
        <v>24.0</v>
      </c>
      <c r="F1182" s="44">
        <v>0.015</v>
      </c>
      <c r="G1182" s="44">
        <v>100.0</v>
      </c>
      <c r="H1182" s="44">
        <v>5.0</v>
      </c>
      <c r="I1182" s="44">
        <v>30.0</v>
      </c>
      <c r="J1182" s="44">
        <v>100.0</v>
      </c>
      <c r="K1182" s="44">
        <v>24.0</v>
      </c>
      <c r="L1182" s="44">
        <v>100.0</v>
      </c>
      <c r="M1182" s="44">
        <v>4.0</v>
      </c>
      <c r="N1182" s="44">
        <v>0.031</v>
      </c>
      <c r="O1182" s="44">
        <v>100.0</v>
      </c>
      <c r="P1182" s="44">
        <v>5.0</v>
      </c>
      <c r="Q1182" s="44">
        <v>0.421</v>
      </c>
      <c r="R1182" s="43">
        <v>11.0</v>
      </c>
      <c r="S1182" s="42"/>
      <c r="T1182" s="42"/>
      <c r="U1182" s="42"/>
      <c r="V1182" s="42"/>
      <c r="W1182" s="42"/>
      <c r="X1182" s="4"/>
      <c r="Y1182" s="4"/>
    </row>
    <row r="1183" ht="22.5" customHeight="1">
      <c r="A1183" s="44">
        <v>6.64</v>
      </c>
      <c r="B1183" s="5" t="s">
        <v>162</v>
      </c>
      <c r="C1183" s="44">
        <v>9.0</v>
      </c>
      <c r="D1183" s="5" t="s">
        <v>163</v>
      </c>
      <c r="E1183" s="44">
        <v>159.0</v>
      </c>
      <c r="F1183" s="44">
        <v>5.76</v>
      </c>
      <c r="G1183" s="44">
        <v>100.0</v>
      </c>
      <c r="H1183" s="44">
        <v>46.0</v>
      </c>
      <c r="I1183" s="44">
        <v>159.0</v>
      </c>
      <c r="J1183" s="44">
        <v>100.0</v>
      </c>
      <c r="K1183" s="44">
        <v>241.0</v>
      </c>
      <c r="L1183" s="44">
        <v>100.0</v>
      </c>
      <c r="M1183" s="44">
        <v>11.0</v>
      </c>
      <c r="N1183" s="44">
        <v>4.328</v>
      </c>
      <c r="O1183" s="44">
        <v>100.0</v>
      </c>
      <c r="P1183" s="44">
        <v>11.0</v>
      </c>
      <c r="Q1183" s="44">
        <v>4.69</v>
      </c>
      <c r="R1183" s="43">
        <v>12.0</v>
      </c>
      <c r="S1183" s="42"/>
      <c r="T1183" s="42"/>
      <c r="U1183" s="42"/>
      <c r="V1183" s="42"/>
      <c r="W1183" s="42"/>
      <c r="X1183" s="4"/>
      <c r="Y1183" s="4"/>
    </row>
    <row r="1184" ht="22.5" customHeight="1">
      <c r="A1184" s="44">
        <v>1.515</v>
      </c>
      <c r="B1184" s="5" t="s">
        <v>162</v>
      </c>
      <c r="C1184" s="44">
        <v>5.0</v>
      </c>
      <c r="D1184" s="5" t="s">
        <v>164</v>
      </c>
      <c r="E1184" s="44">
        <v>65.0</v>
      </c>
      <c r="F1184" s="44">
        <v>0.438</v>
      </c>
      <c r="G1184" s="44">
        <v>100.0</v>
      </c>
      <c r="H1184" s="44">
        <v>6.0</v>
      </c>
      <c r="I1184" s="44">
        <v>122.0</v>
      </c>
      <c r="J1184" s="44">
        <v>100.0</v>
      </c>
      <c r="K1184" s="44">
        <v>65.0</v>
      </c>
      <c r="L1184" s="44">
        <v>100.0</v>
      </c>
      <c r="M1184" s="44">
        <v>6.0</v>
      </c>
      <c r="N1184" s="44">
        <v>2.249</v>
      </c>
      <c r="O1184" s="44">
        <v>100.0</v>
      </c>
      <c r="P1184" s="44">
        <v>6.0</v>
      </c>
      <c r="Q1184" s="44">
        <v>1.218</v>
      </c>
      <c r="R1184" s="43">
        <v>13.0</v>
      </c>
      <c r="S1184" s="42"/>
      <c r="T1184" s="42"/>
      <c r="U1184" s="42"/>
      <c r="V1184" s="42"/>
      <c r="W1184" s="42"/>
      <c r="X1184" s="4"/>
      <c r="Y1184" s="4"/>
    </row>
    <row r="1185" ht="22.5" customHeight="1">
      <c r="A1185" s="44">
        <v>39.96</v>
      </c>
      <c r="B1185" s="5" t="s">
        <v>165</v>
      </c>
      <c r="C1185" s="44">
        <v>26.0</v>
      </c>
      <c r="D1185" s="5" t="s">
        <v>166</v>
      </c>
      <c r="E1185" s="44">
        <v>281.0</v>
      </c>
      <c r="F1185" s="44">
        <v>39.85</v>
      </c>
      <c r="G1185" s="44">
        <v>100.0</v>
      </c>
      <c r="H1185" s="44">
        <v>73.0</v>
      </c>
      <c r="I1185" s="44">
        <v>281.0</v>
      </c>
      <c r="J1185" s="44">
        <v>100.0</v>
      </c>
      <c r="K1185" s="44">
        <v>426.0</v>
      </c>
      <c r="L1185" s="44">
        <v>100.0</v>
      </c>
      <c r="M1185" s="44">
        <v>17.0</v>
      </c>
      <c r="N1185" s="44">
        <v>31.09</v>
      </c>
      <c r="O1185" s="44">
        <v>100.0</v>
      </c>
      <c r="P1185" s="44">
        <v>18.0</v>
      </c>
      <c r="Q1185" s="44">
        <v>33.67</v>
      </c>
      <c r="R1185" s="43">
        <v>14.0</v>
      </c>
      <c r="S1185" s="42"/>
      <c r="T1185" s="42"/>
      <c r="U1185" s="42"/>
      <c r="V1185" s="42"/>
      <c r="W1185" s="42"/>
      <c r="X1185" s="4"/>
      <c r="Y1185" s="4"/>
    </row>
    <row r="1186" ht="22.5" customHeight="1">
      <c r="A1186" s="44">
        <v>8.937</v>
      </c>
      <c r="B1186" s="5" t="s">
        <v>165</v>
      </c>
      <c r="C1186" s="44">
        <v>7.0</v>
      </c>
      <c r="D1186" s="5" t="s">
        <v>167</v>
      </c>
      <c r="E1186" s="44">
        <v>166.0</v>
      </c>
      <c r="F1186" s="44">
        <v>9.375</v>
      </c>
      <c r="G1186" s="44">
        <v>100.0</v>
      </c>
      <c r="H1186" s="44">
        <v>7.0</v>
      </c>
      <c r="I1186" s="44">
        <v>396.0</v>
      </c>
      <c r="J1186" s="44">
        <v>100.0</v>
      </c>
      <c r="K1186" s="44">
        <v>30.0</v>
      </c>
      <c r="L1186" s="44">
        <v>100.0</v>
      </c>
      <c r="M1186" s="44">
        <v>7.0</v>
      </c>
      <c r="N1186" s="44">
        <v>13.329</v>
      </c>
      <c r="O1186" s="44">
        <v>98.8</v>
      </c>
      <c r="P1186" s="44">
        <v>7.0</v>
      </c>
      <c r="Q1186" s="44">
        <v>49.23</v>
      </c>
      <c r="R1186" s="43">
        <v>15.0</v>
      </c>
      <c r="S1186" s="42"/>
      <c r="T1186" s="42"/>
      <c r="U1186" s="42"/>
      <c r="V1186" s="42"/>
      <c r="W1186" s="42"/>
      <c r="X1186" s="4"/>
      <c r="Y1186" s="4"/>
    </row>
    <row r="1187" ht="22.5" customHeight="1">
      <c r="A1187" s="44">
        <v>5.54</v>
      </c>
      <c r="B1187" s="5" t="s">
        <v>168</v>
      </c>
      <c r="C1187" s="44">
        <v>2.0</v>
      </c>
      <c r="D1187" s="5" t="s">
        <v>169</v>
      </c>
      <c r="E1187" s="44">
        <v>35.0</v>
      </c>
      <c r="F1187" s="44">
        <v>0.156</v>
      </c>
      <c r="G1187" s="45">
        <v>0.20694444444444443</v>
      </c>
      <c r="H1187" s="44">
        <v>22.0</v>
      </c>
      <c r="I1187" s="44">
        <v>131.0</v>
      </c>
      <c r="J1187" s="44">
        <v>25.95</v>
      </c>
      <c r="K1187" s="44">
        <v>35.0</v>
      </c>
      <c r="L1187" s="44">
        <v>97.14</v>
      </c>
      <c r="M1187" s="44">
        <v>22.0</v>
      </c>
      <c r="N1187" s="44">
        <v>12.156</v>
      </c>
      <c r="O1187" s="44">
        <v>34.29</v>
      </c>
      <c r="P1187" s="44">
        <v>17.0</v>
      </c>
      <c r="Q1187" s="44">
        <v>2.063</v>
      </c>
      <c r="R1187" s="43">
        <v>16.0</v>
      </c>
      <c r="S1187" s="42"/>
      <c r="T1187" s="42"/>
      <c r="U1187" s="42"/>
      <c r="V1187" s="42"/>
      <c r="W1187" s="42"/>
      <c r="X1187" s="4"/>
      <c r="Y1187" s="4"/>
    </row>
    <row r="1188" ht="22.5" customHeight="1">
      <c r="A1188" s="5" t="s">
        <v>146</v>
      </c>
      <c r="B1188" s="5" t="s">
        <v>170</v>
      </c>
      <c r="C1188" s="44">
        <v>3.0</v>
      </c>
      <c r="D1188" s="5" t="s">
        <v>171</v>
      </c>
      <c r="E1188" s="44">
        <v>11.0</v>
      </c>
      <c r="F1188" s="5" t="s">
        <v>146</v>
      </c>
      <c r="G1188" s="44">
        <v>100.0</v>
      </c>
      <c r="H1188" s="44">
        <v>5.0</v>
      </c>
      <c r="I1188" s="44">
        <v>23.0</v>
      </c>
      <c r="J1188" s="44">
        <v>100.0</v>
      </c>
      <c r="K1188" s="44">
        <v>11.0</v>
      </c>
      <c r="L1188" s="44">
        <v>100.0</v>
      </c>
      <c r="M1188" s="44">
        <v>3.0</v>
      </c>
      <c r="N1188" s="44">
        <v>0.015</v>
      </c>
      <c r="O1188" s="44">
        <v>100.0</v>
      </c>
      <c r="P1188" s="44">
        <v>3.0</v>
      </c>
      <c r="Q1188" s="44">
        <v>0.015</v>
      </c>
      <c r="R1188" s="43">
        <v>17.0</v>
      </c>
      <c r="S1188" s="42"/>
      <c r="T1188" s="42"/>
      <c r="U1188" s="42"/>
      <c r="V1188" s="42"/>
      <c r="W1188" s="42"/>
      <c r="X1188" s="4"/>
      <c r="Y1188" s="4"/>
    </row>
    <row r="1189" ht="22.5" customHeight="1">
      <c r="A1189" s="44">
        <v>0.046</v>
      </c>
      <c r="B1189" s="5" t="s">
        <v>172</v>
      </c>
      <c r="C1189" s="44">
        <v>5.0</v>
      </c>
      <c r="D1189" s="5" t="s">
        <v>173</v>
      </c>
      <c r="E1189" s="44">
        <v>28.0</v>
      </c>
      <c r="F1189" s="44">
        <v>0.015</v>
      </c>
      <c r="G1189" s="44">
        <v>100.0</v>
      </c>
      <c r="H1189" s="44">
        <v>7.0</v>
      </c>
      <c r="I1189" s="44">
        <v>24.0</v>
      </c>
      <c r="J1189" s="44">
        <v>100.0</v>
      </c>
      <c r="K1189" s="44">
        <v>28.0</v>
      </c>
      <c r="L1189" s="44">
        <v>100.0</v>
      </c>
      <c r="M1189" s="44">
        <v>7.0</v>
      </c>
      <c r="N1189" s="44">
        <v>0.062</v>
      </c>
      <c r="O1189" s="44">
        <v>100.0</v>
      </c>
      <c r="P1189" s="44">
        <v>6.0</v>
      </c>
      <c r="Q1189" s="5" t="s">
        <v>26</v>
      </c>
      <c r="R1189" s="43">
        <v>18.0</v>
      </c>
      <c r="S1189" s="42"/>
      <c r="T1189" s="42"/>
      <c r="U1189" s="42"/>
      <c r="V1189" s="42"/>
      <c r="W1189" s="42"/>
      <c r="X1189" s="4"/>
      <c r="Y1189" s="4"/>
    </row>
    <row r="1190" ht="22.5" customHeight="1">
      <c r="A1190" s="44">
        <v>2.734</v>
      </c>
      <c r="B1190" s="5" t="s">
        <v>174</v>
      </c>
      <c r="C1190" s="44">
        <v>16.0</v>
      </c>
      <c r="D1190" s="5" t="s">
        <v>175</v>
      </c>
      <c r="E1190" s="44">
        <v>104.0</v>
      </c>
      <c r="F1190" s="44">
        <v>1.31</v>
      </c>
      <c r="G1190" s="44">
        <v>100.0</v>
      </c>
      <c r="H1190" s="44">
        <v>34.0</v>
      </c>
      <c r="I1190" s="44">
        <v>104.0</v>
      </c>
      <c r="J1190" s="44">
        <v>100.0</v>
      </c>
      <c r="K1190" s="44">
        <v>143.0</v>
      </c>
      <c r="L1190" s="44">
        <v>100.0</v>
      </c>
      <c r="M1190" s="44">
        <v>19.0</v>
      </c>
      <c r="N1190" s="44">
        <v>1.33</v>
      </c>
      <c r="O1190" s="44">
        <v>100.0</v>
      </c>
      <c r="P1190" s="44">
        <v>23.0</v>
      </c>
      <c r="Q1190" s="44">
        <v>2.69</v>
      </c>
      <c r="R1190" s="43">
        <v>19.0</v>
      </c>
      <c r="S1190" s="4"/>
      <c r="T1190" s="4"/>
      <c r="U1190" s="42"/>
      <c r="V1190" s="42"/>
      <c r="W1190" s="42"/>
      <c r="X1190" s="4"/>
      <c r="Y1190" s="4"/>
    </row>
    <row r="1191" ht="22.5" customHeight="1">
      <c r="A1191" s="44">
        <v>15.562</v>
      </c>
      <c r="B1191" s="5" t="s">
        <v>176</v>
      </c>
      <c r="C1191" s="44">
        <v>8.0</v>
      </c>
      <c r="D1191" s="5" t="s">
        <v>177</v>
      </c>
      <c r="E1191" s="44">
        <v>44.0</v>
      </c>
      <c r="F1191" s="44">
        <v>10.859</v>
      </c>
      <c r="G1191" s="5" t="s">
        <v>178</v>
      </c>
      <c r="H1191" s="44">
        <v>17.0</v>
      </c>
      <c r="I1191" s="44">
        <v>328.0</v>
      </c>
      <c r="J1191" s="44">
        <v>37.8</v>
      </c>
      <c r="K1191" s="44">
        <v>44.0</v>
      </c>
      <c r="L1191" s="44">
        <v>100.0</v>
      </c>
      <c r="M1191" s="44">
        <v>2.0</v>
      </c>
      <c r="N1191" s="44">
        <v>1.671</v>
      </c>
      <c r="O1191" s="44">
        <v>54.55</v>
      </c>
      <c r="P1191" s="44">
        <v>2.0</v>
      </c>
      <c r="Q1191" s="44">
        <v>6.656</v>
      </c>
      <c r="R1191" s="43">
        <v>20.0</v>
      </c>
      <c r="S1191" s="42"/>
      <c r="T1191" s="42"/>
      <c r="U1191" s="42"/>
      <c r="V1191" s="42"/>
      <c r="W1191" s="42"/>
      <c r="X1191" s="4"/>
      <c r="Y1191" s="4"/>
    </row>
    <row r="1192" ht="22.5" customHeight="1">
      <c r="A1192" s="44">
        <v>0.219</v>
      </c>
      <c r="B1192" s="5" t="s">
        <v>179</v>
      </c>
      <c r="C1192" s="44">
        <v>7.0</v>
      </c>
      <c r="D1192" s="5" t="s">
        <v>180</v>
      </c>
      <c r="E1192" s="44">
        <v>43.0</v>
      </c>
      <c r="F1192" s="44">
        <v>0.265</v>
      </c>
      <c r="G1192" s="44">
        <v>100.0</v>
      </c>
      <c r="H1192" s="44">
        <v>13.0</v>
      </c>
      <c r="I1192" s="44">
        <v>95.0</v>
      </c>
      <c r="J1192" s="44">
        <v>100.0</v>
      </c>
      <c r="K1192" s="44">
        <v>43.0</v>
      </c>
      <c r="L1192" s="44">
        <v>100.0</v>
      </c>
      <c r="M1192" s="44">
        <v>8.0</v>
      </c>
      <c r="N1192" s="44">
        <v>0.281</v>
      </c>
      <c r="O1192" s="44">
        <v>100.0</v>
      </c>
      <c r="P1192" s="44">
        <v>9.0</v>
      </c>
      <c r="Q1192" s="44">
        <v>0.203</v>
      </c>
      <c r="R1192" s="43">
        <v>21.0</v>
      </c>
      <c r="S1192" s="42"/>
      <c r="T1192" s="42"/>
      <c r="U1192" s="42"/>
      <c r="V1192" s="42"/>
      <c r="W1192" s="42"/>
      <c r="X1192" s="4"/>
      <c r="Y1192" s="4"/>
    </row>
    <row r="1193" ht="22.5" customHeight="1">
      <c r="A1193" s="44">
        <v>0.031</v>
      </c>
      <c r="B1193" s="5" t="s">
        <v>181</v>
      </c>
      <c r="C1193" s="44">
        <v>11.0</v>
      </c>
      <c r="D1193" s="5" t="s">
        <v>182</v>
      </c>
      <c r="E1193" s="44">
        <v>29.0</v>
      </c>
      <c r="F1193" s="44">
        <v>0.062</v>
      </c>
      <c r="G1193" s="44">
        <v>100.0</v>
      </c>
      <c r="H1193" s="44">
        <v>14.0</v>
      </c>
      <c r="I1193" s="44">
        <v>43.0</v>
      </c>
      <c r="J1193" s="44">
        <v>100.0</v>
      </c>
      <c r="K1193" s="44">
        <v>29.0</v>
      </c>
      <c r="L1193" s="44">
        <v>100.0</v>
      </c>
      <c r="M1193" s="44">
        <v>10.0</v>
      </c>
      <c r="N1193" s="44">
        <v>0.062</v>
      </c>
      <c r="O1193" s="44">
        <v>100.0</v>
      </c>
      <c r="P1193" s="44">
        <v>11.0</v>
      </c>
      <c r="Q1193" s="44">
        <v>0.031</v>
      </c>
      <c r="R1193" s="43">
        <v>22.0</v>
      </c>
      <c r="S1193" s="42"/>
      <c r="T1193" s="42"/>
      <c r="U1193" s="42"/>
      <c r="V1193" s="42"/>
      <c r="W1193" s="42"/>
      <c r="X1193" s="4"/>
      <c r="Y1193" s="4"/>
    </row>
    <row r="1194" ht="22.5" customHeight="1">
      <c r="A1194" s="44">
        <v>17.273</v>
      </c>
      <c r="B1194" s="5" t="s">
        <v>183</v>
      </c>
      <c r="C1194" s="44">
        <v>1.0</v>
      </c>
      <c r="D1194" s="5" t="s">
        <v>184</v>
      </c>
      <c r="E1194" s="44">
        <v>210.0</v>
      </c>
      <c r="F1194" s="44">
        <v>0.525</v>
      </c>
      <c r="G1194" s="44">
        <v>100.0</v>
      </c>
      <c r="H1194" s="44">
        <v>10.0</v>
      </c>
      <c r="I1194" s="44">
        <v>756.0</v>
      </c>
      <c r="J1194" s="44">
        <v>100.0</v>
      </c>
      <c r="K1194" s="44">
        <v>210.0</v>
      </c>
      <c r="L1194" s="44">
        <v>100.0</v>
      </c>
      <c r="M1194" s="44">
        <v>1.0</v>
      </c>
      <c r="N1194" s="44">
        <v>0.29</v>
      </c>
      <c r="O1194" s="44">
        <v>100.0</v>
      </c>
      <c r="P1194" s="44">
        <v>1.0</v>
      </c>
      <c r="Q1194" s="44">
        <v>9.592</v>
      </c>
      <c r="R1194" s="43">
        <v>23.0</v>
      </c>
      <c r="S1194" s="42"/>
      <c r="T1194" s="42"/>
      <c r="U1194" s="42"/>
      <c r="V1194" s="42"/>
      <c r="W1194" s="42"/>
      <c r="X1194" s="4"/>
      <c r="Y1194" s="4"/>
    </row>
    <row r="1195" ht="22.5" customHeight="1">
      <c r="A1195" s="44">
        <v>0.015</v>
      </c>
      <c r="B1195" s="5" t="s">
        <v>185</v>
      </c>
      <c r="C1195" s="44">
        <v>4.0</v>
      </c>
      <c r="D1195" s="5" t="s">
        <v>186</v>
      </c>
      <c r="E1195" s="44">
        <v>15.0</v>
      </c>
      <c r="F1195" s="44">
        <v>0.015</v>
      </c>
      <c r="G1195" s="44">
        <v>100.0</v>
      </c>
      <c r="H1195" s="44">
        <v>10.0</v>
      </c>
      <c r="I1195" s="44">
        <v>23.0</v>
      </c>
      <c r="J1195" s="44">
        <v>100.0</v>
      </c>
      <c r="K1195" s="44">
        <v>15.0</v>
      </c>
      <c r="L1195" s="44">
        <v>100.0</v>
      </c>
      <c r="M1195" s="44">
        <v>3.0</v>
      </c>
      <c r="N1195" s="44">
        <v>0.015</v>
      </c>
      <c r="O1195" s="44">
        <v>100.0</v>
      </c>
      <c r="P1195" s="44">
        <v>3.0</v>
      </c>
      <c r="Q1195" s="44">
        <v>0.078</v>
      </c>
      <c r="R1195" s="43">
        <v>24.0</v>
      </c>
      <c r="S1195" s="42"/>
      <c r="T1195" s="42"/>
      <c r="U1195" s="42"/>
      <c r="V1195" s="42"/>
      <c r="W1195" s="42"/>
      <c r="X1195" s="4"/>
      <c r="Y1195" s="4"/>
    </row>
    <row r="1196" ht="22.5" customHeight="1">
      <c r="A1196" s="44">
        <v>74.455</v>
      </c>
      <c r="B1196" s="5" t="s">
        <v>187</v>
      </c>
      <c r="C1196" s="44">
        <v>8.0</v>
      </c>
      <c r="D1196" s="5">
        <v>2.0</v>
      </c>
      <c r="E1196" s="44">
        <v>3144.0</v>
      </c>
      <c r="F1196" s="44">
        <v>74.455</v>
      </c>
      <c r="G1196" s="44">
        <v>94.07</v>
      </c>
      <c r="H1196" s="44">
        <v>8.0</v>
      </c>
      <c r="I1196" s="44">
        <v>3777.0</v>
      </c>
      <c r="J1196" s="44">
        <v>94.07</v>
      </c>
      <c r="K1196" s="44">
        <v>44.0</v>
      </c>
      <c r="L1196" s="44">
        <v>100.0</v>
      </c>
      <c r="M1196" s="44">
        <v>2.0</v>
      </c>
      <c r="N1196" s="44">
        <v>1.671</v>
      </c>
      <c r="O1196" s="44">
        <v>54.55</v>
      </c>
      <c r="P1196" s="44">
        <v>2.0</v>
      </c>
      <c r="Q1196" s="44">
        <v>6.656</v>
      </c>
      <c r="R1196" s="43">
        <v>25.0</v>
      </c>
      <c r="S1196" s="42"/>
      <c r="T1196" s="42"/>
      <c r="U1196" s="42"/>
      <c r="V1196" s="42"/>
      <c r="W1196" s="42"/>
      <c r="X1196" s="4"/>
      <c r="Y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2"/>
      <c r="T1197" s="42"/>
      <c r="U1197" s="42"/>
      <c r="V1197" s="42"/>
      <c r="W1197" s="42"/>
      <c r="X1197" s="4"/>
      <c r="Y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2"/>
      <c r="T1198" s="42"/>
      <c r="U1198" s="42"/>
      <c r="V1198" s="42"/>
      <c r="W1198" s="42"/>
      <c r="X1198" s="4"/>
      <c r="Y1198" s="4"/>
    </row>
    <row r="1199">
      <c r="A1199" s="42"/>
      <c r="B1199" s="4"/>
      <c r="C1199" s="42"/>
      <c r="D1199" s="4"/>
      <c r="E1199" s="4"/>
      <c r="F1199" s="42"/>
      <c r="G1199" s="42"/>
      <c r="H1199" s="4"/>
      <c r="I1199" s="42"/>
      <c r="J1199" s="42"/>
      <c r="K1199" s="42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"/>
      <c r="Y1199" s="4"/>
    </row>
    <row r="1200">
      <c r="A1200" s="42"/>
      <c r="B1200" s="4"/>
      <c r="C1200" s="42"/>
      <c r="D1200" s="4"/>
      <c r="E1200" s="4"/>
      <c r="F1200" s="42"/>
      <c r="G1200" s="42"/>
      <c r="H1200" s="4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"/>
      <c r="Y1200" s="4"/>
    </row>
    <row r="1201" ht="22.5" customHeight="1">
      <c r="A1201" s="5" t="s">
        <v>136</v>
      </c>
      <c r="B1201" s="5" t="s">
        <v>137</v>
      </c>
      <c r="C1201" s="5" t="s">
        <v>138</v>
      </c>
      <c r="D1201" s="5" t="s">
        <v>139</v>
      </c>
      <c r="E1201" s="5" t="s">
        <v>140</v>
      </c>
      <c r="F1201" s="5" t="s">
        <v>136</v>
      </c>
      <c r="G1201" s="5" t="s">
        <v>141</v>
      </c>
      <c r="H1201" s="5" t="s">
        <v>142</v>
      </c>
      <c r="I1201" s="5" t="s">
        <v>131</v>
      </c>
      <c r="J1201" s="5" t="s">
        <v>141</v>
      </c>
      <c r="K1201" s="5" t="s">
        <v>131</v>
      </c>
      <c r="L1201" s="5" t="s">
        <v>141</v>
      </c>
      <c r="M1201" s="5" t="s">
        <v>138</v>
      </c>
      <c r="N1201" s="5" t="s">
        <v>136</v>
      </c>
      <c r="O1201" s="5" t="s">
        <v>141</v>
      </c>
      <c r="P1201" s="5" t="s">
        <v>138</v>
      </c>
      <c r="Q1201" s="5" t="s">
        <v>136</v>
      </c>
      <c r="R1201" s="5" t="s">
        <v>0</v>
      </c>
      <c r="S1201" s="5" t="s">
        <v>136</v>
      </c>
      <c r="T1201" s="5" t="s">
        <v>188</v>
      </c>
      <c r="U1201" s="5" t="s">
        <v>189</v>
      </c>
      <c r="V1201" s="5" t="s">
        <v>138</v>
      </c>
      <c r="W1201" s="5" t="s">
        <v>136</v>
      </c>
      <c r="X1201" s="4"/>
      <c r="Y1201" s="4"/>
    </row>
    <row r="1202" ht="22.5" customHeight="1">
      <c r="A1202" s="5">
        <v>1.578</v>
      </c>
      <c r="B1202" s="5">
        <v>410184.0</v>
      </c>
      <c r="C1202" s="5">
        <v>6.0</v>
      </c>
      <c r="D1202" s="5" t="s">
        <v>143</v>
      </c>
      <c r="E1202" s="5">
        <v>46.0</v>
      </c>
      <c r="F1202" s="5">
        <v>1.687</v>
      </c>
      <c r="G1202" s="5">
        <v>100.0</v>
      </c>
      <c r="H1202" s="5">
        <v>14.0</v>
      </c>
      <c r="I1202" s="5">
        <v>1316.0</v>
      </c>
      <c r="J1202" s="5">
        <v>100.0</v>
      </c>
      <c r="K1202" s="5">
        <v>8554.0</v>
      </c>
      <c r="L1202" s="5">
        <v>100.0</v>
      </c>
      <c r="M1202" s="5">
        <v>11.0</v>
      </c>
      <c r="N1202" s="5">
        <v>4.484</v>
      </c>
      <c r="O1202" s="5">
        <v>100.0</v>
      </c>
      <c r="P1202" s="5">
        <v>8.0</v>
      </c>
      <c r="Q1202" s="5">
        <v>4.172</v>
      </c>
      <c r="R1202" s="5">
        <v>1.0</v>
      </c>
      <c r="S1202" s="5"/>
      <c r="T1202" s="5"/>
      <c r="U1202" s="5"/>
      <c r="V1202" s="5"/>
      <c r="W1202" s="5"/>
      <c r="X1202" s="4"/>
      <c r="Y1202" s="4"/>
    </row>
    <row r="1203" ht="22.5" customHeight="1">
      <c r="A1203" s="5">
        <v>0.015</v>
      </c>
      <c r="B1203" s="5" t="s">
        <v>144</v>
      </c>
      <c r="C1203" s="5">
        <v>4.0</v>
      </c>
      <c r="D1203" s="5" t="s">
        <v>145</v>
      </c>
      <c r="E1203" s="5">
        <v>14.0</v>
      </c>
      <c r="F1203" s="5">
        <v>0.062</v>
      </c>
      <c r="G1203" s="5">
        <v>95.33</v>
      </c>
      <c r="H1203" s="5">
        <v>5.0</v>
      </c>
      <c r="I1203" s="5">
        <v>150.0</v>
      </c>
      <c r="J1203" s="5">
        <v>95.33</v>
      </c>
      <c r="K1203" s="5">
        <v>300.0</v>
      </c>
      <c r="L1203" s="5">
        <v>100.0</v>
      </c>
      <c r="M1203" s="5">
        <v>4.0</v>
      </c>
      <c r="N1203" s="5">
        <v>0.015</v>
      </c>
      <c r="O1203" s="5">
        <v>100.0</v>
      </c>
      <c r="P1203" s="5">
        <v>4.0</v>
      </c>
      <c r="Q1203" s="5">
        <v>0.031</v>
      </c>
      <c r="R1203" s="5">
        <v>2.0</v>
      </c>
      <c r="S1203" s="5"/>
      <c r="T1203" s="5"/>
      <c r="U1203" s="5"/>
      <c r="V1203" s="5"/>
      <c r="W1203" s="5"/>
      <c r="X1203" s="4"/>
      <c r="Y1203" s="4"/>
    </row>
    <row r="1204" ht="22.5" customHeight="1">
      <c r="A1204" s="5">
        <v>0.016</v>
      </c>
      <c r="B1204" s="5" t="s">
        <v>147</v>
      </c>
      <c r="C1204" s="5">
        <v>3.0</v>
      </c>
      <c r="D1204" s="5" t="s">
        <v>148</v>
      </c>
      <c r="E1204" s="5">
        <v>6.0</v>
      </c>
      <c r="F1204" s="5" t="s">
        <v>26</v>
      </c>
      <c r="G1204" s="5">
        <v>100.0</v>
      </c>
      <c r="H1204" s="5">
        <v>5.0</v>
      </c>
      <c r="I1204" s="5">
        <v>70.0</v>
      </c>
      <c r="J1204" s="5">
        <v>100.0</v>
      </c>
      <c r="K1204" s="5">
        <v>140.0</v>
      </c>
      <c r="L1204" s="5">
        <v>100.0</v>
      </c>
      <c r="M1204" s="5">
        <v>4.0</v>
      </c>
      <c r="N1204" s="5" t="s">
        <v>26</v>
      </c>
      <c r="O1204" s="5">
        <v>100.0</v>
      </c>
      <c r="P1204" s="5">
        <v>4.0</v>
      </c>
      <c r="Q1204" s="5" t="s">
        <v>26</v>
      </c>
      <c r="R1204" s="5">
        <v>3.0</v>
      </c>
      <c r="S1204" s="5"/>
      <c r="T1204" s="5"/>
      <c r="U1204" s="5"/>
      <c r="V1204" s="5"/>
      <c r="W1204" s="5"/>
      <c r="X1204" s="4"/>
      <c r="Y1204" s="4"/>
    </row>
    <row r="1205" ht="22.5" customHeight="1">
      <c r="A1205" s="5" t="s">
        <v>190</v>
      </c>
      <c r="B1205" s="5" t="s">
        <v>149</v>
      </c>
      <c r="C1205" s="5">
        <v>5.0</v>
      </c>
      <c r="D1205" s="5" t="s">
        <v>150</v>
      </c>
      <c r="E1205" s="5">
        <v>307.0</v>
      </c>
      <c r="F1205" s="5">
        <v>663.81</v>
      </c>
      <c r="G1205" s="5" t="s">
        <v>191</v>
      </c>
      <c r="H1205" s="5">
        <v>87.0</v>
      </c>
      <c r="I1205" s="5">
        <v>53592.0</v>
      </c>
      <c r="J1205" s="5">
        <v>82.28</v>
      </c>
      <c r="K1205" s="5">
        <v>2304456.0</v>
      </c>
      <c r="L1205" s="5" t="s">
        <v>191</v>
      </c>
      <c r="M1205" s="5" t="s">
        <v>191</v>
      </c>
      <c r="N1205" s="5" t="s">
        <v>190</v>
      </c>
      <c r="O1205" s="5" t="s">
        <v>191</v>
      </c>
      <c r="P1205" s="5" t="s">
        <v>191</v>
      </c>
      <c r="Q1205" s="5" t="s">
        <v>190</v>
      </c>
      <c r="R1205" s="5">
        <v>4.0</v>
      </c>
      <c r="S1205" s="5"/>
      <c r="T1205" s="5"/>
      <c r="U1205" s="5"/>
      <c r="V1205" s="5"/>
      <c r="W1205" s="5"/>
      <c r="X1205" s="4"/>
      <c r="Y1205" s="4"/>
    </row>
    <row r="1206" ht="22.5" customHeight="1">
      <c r="A1206" s="5">
        <v>18.297</v>
      </c>
      <c r="B1206" s="5" t="s">
        <v>151</v>
      </c>
      <c r="C1206" s="5">
        <v>8.0</v>
      </c>
      <c r="D1206" s="5" t="s">
        <v>152</v>
      </c>
      <c r="E1206" s="5">
        <v>20.0</v>
      </c>
      <c r="F1206" s="5">
        <v>9.438</v>
      </c>
      <c r="G1206" s="5">
        <v>92.56</v>
      </c>
      <c r="H1206" s="5">
        <v>16.0</v>
      </c>
      <c r="I1206" s="5">
        <v>672.0</v>
      </c>
      <c r="J1206" s="5">
        <v>92.56</v>
      </c>
      <c r="K1206" s="5">
        <v>5040.0</v>
      </c>
      <c r="L1206" s="5">
        <v>97.34</v>
      </c>
      <c r="M1206" s="5">
        <v>15.0</v>
      </c>
      <c r="N1206" s="5">
        <v>3.093</v>
      </c>
      <c r="O1206" s="5">
        <v>97.62</v>
      </c>
      <c r="P1206" s="5">
        <v>9.0</v>
      </c>
      <c r="Q1206" s="5">
        <v>31.051</v>
      </c>
      <c r="R1206" s="5">
        <v>5.0</v>
      </c>
      <c r="S1206" s="5"/>
      <c r="T1206" s="5"/>
      <c r="U1206" s="5"/>
      <c r="V1206" s="5"/>
      <c r="W1206" s="5"/>
      <c r="X1206" s="4"/>
      <c r="Y1206" s="4"/>
    </row>
    <row r="1207" ht="22.5" customHeight="1">
      <c r="A1207" s="5">
        <v>140.925</v>
      </c>
      <c r="B1207" s="5" t="s">
        <v>153</v>
      </c>
      <c r="C1207" s="5">
        <v>19.0</v>
      </c>
      <c r="D1207" s="5" t="s">
        <v>154</v>
      </c>
      <c r="E1207" s="5">
        <v>78.0</v>
      </c>
      <c r="F1207" s="5">
        <v>109.056</v>
      </c>
      <c r="G1207" s="5">
        <v>82.88</v>
      </c>
      <c r="H1207" s="5">
        <v>39.0</v>
      </c>
      <c r="I1207" s="5">
        <v>6162.0</v>
      </c>
      <c r="J1207" s="5">
        <v>83.14</v>
      </c>
      <c r="K1207" s="5">
        <v>117078.0</v>
      </c>
      <c r="L1207" s="5">
        <v>92.12</v>
      </c>
      <c r="M1207" s="5">
        <v>11.0</v>
      </c>
      <c r="N1207" s="5">
        <v>680.173</v>
      </c>
      <c r="O1207" s="5">
        <v>91.84</v>
      </c>
      <c r="P1207" s="5">
        <v>4.0</v>
      </c>
      <c r="Q1207" s="5">
        <v>791.142</v>
      </c>
      <c r="R1207" s="5">
        <v>6.0</v>
      </c>
      <c r="S1207" s="5"/>
      <c r="T1207" s="5"/>
      <c r="U1207" s="5"/>
      <c r="V1207" s="5"/>
      <c r="W1207" s="5"/>
      <c r="X1207" s="4"/>
      <c r="Y1207" s="4"/>
    </row>
    <row r="1208" ht="22.5" customHeight="1">
      <c r="A1208" s="5">
        <v>0.546</v>
      </c>
      <c r="B1208" s="5" t="s">
        <v>153</v>
      </c>
      <c r="C1208" s="5">
        <v>3.0</v>
      </c>
      <c r="D1208" s="5" t="s">
        <v>155</v>
      </c>
      <c r="E1208" s="5">
        <v>19.0</v>
      </c>
      <c r="F1208" s="5">
        <v>0.875</v>
      </c>
      <c r="G1208" s="5">
        <v>100.0</v>
      </c>
      <c r="H1208" s="5">
        <v>12.0</v>
      </c>
      <c r="I1208" s="5">
        <v>480.0</v>
      </c>
      <c r="J1208" s="5">
        <v>100.0</v>
      </c>
      <c r="K1208" s="5">
        <v>2640.0</v>
      </c>
      <c r="L1208" s="5">
        <v>100.0</v>
      </c>
      <c r="M1208" s="5">
        <v>7.0</v>
      </c>
      <c r="N1208" s="5">
        <v>3.046</v>
      </c>
      <c r="O1208" s="5">
        <v>100.0</v>
      </c>
      <c r="P1208" s="5">
        <v>7.0</v>
      </c>
      <c r="Q1208" s="5">
        <v>2.391</v>
      </c>
      <c r="R1208" s="5">
        <v>7.0</v>
      </c>
      <c r="S1208" s="5"/>
      <c r="T1208" s="5"/>
      <c r="U1208" s="5"/>
      <c r="V1208" s="5"/>
      <c r="W1208" s="5"/>
      <c r="X1208" s="4"/>
      <c r="Y1208" s="4"/>
    </row>
    <row r="1209" ht="22.5" customHeight="1">
      <c r="A1209" s="5">
        <v>975.797</v>
      </c>
      <c r="B1209" s="5" t="s">
        <v>156</v>
      </c>
      <c r="C1209" s="5">
        <v>5.0</v>
      </c>
      <c r="D1209" s="5" t="s">
        <v>157</v>
      </c>
      <c r="E1209" s="5">
        <v>153.0</v>
      </c>
      <c r="F1209" s="5">
        <v>527.958</v>
      </c>
      <c r="G1209" s="5">
        <v>80.84</v>
      </c>
      <c r="H1209" s="5">
        <v>45.0</v>
      </c>
      <c r="I1209" s="5">
        <v>13860.0</v>
      </c>
      <c r="J1209" s="5">
        <v>80.84</v>
      </c>
      <c r="K1209" s="5">
        <v>304920.0</v>
      </c>
      <c r="L1209" s="5">
        <v>91.26</v>
      </c>
      <c r="M1209" s="5">
        <v>9.0</v>
      </c>
      <c r="N1209" s="5">
        <v>5057.34</v>
      </c>
      <c r="O1209" s="5">
        <v>87.0</v>
      </c>
      <c r="P1209" s="5">
        <v>4.0</v>
      </c>
      <c r="Q1209" s="5">
        <v>4649.65</v>
      </c>
      <c r="R1209" s="5">
        <v>8.0</v>
      </c>
      <c r="S1209" s="5"/>
      <c r="T1209" s="5"/>
      <c r="U1209" s="5"/>
      <c r="V1209" s="5"/>
      <c r="W1209" s="5"/>
      <c r="X1209" s="4"/>
      <c r="Y1209" s="4"/>
    </row>
    <row r="1210" ht="22.5" customHeight="1">
      <c r="A1210" s="5">
        <v>30.126</v>
      </c>
      <c r="B1210" s="5" t="s">
        <v>47</v>
      </c>
      <c r="C1210" s="5">
        <v>10.0</v>
      </c>
      <c r="D1210" s="31"/>
      <c r="E1210" s="5">
        <v>132.0</v>
      </c>
      <c r="F1210" s="5">
        <v>63.631</v>
      </c>
      <c r="G1210" s="5">
        <v>100.0</v>
      </c>
      <c r="H1210" s="5">
        <v>15.0</v>
      </c>
      <c r="I1210" s="5">
        <v>3990.0</v>
      </c>
      <c r="J1210" s="5">
        <v>100.0</v>
      </c>
      <c r="K1210" s="5">
        <v>27930.0</v>
      </c>
      <c r="L1210" s="5">
        <v>100.0</v>
      </c>
      <c r="M1210" s="5">
        <v>12.0</v>
      </c>
      <c r="N1210" s="5">
        <v>151.116</v>
      </c>
      <c r="O1210" s="5">
        <v>100.0</v>
      </c>
      <c r="P1210" s="5">
        <v>9.0</v>
      </c>
      <c r="Q1210" s="5">
        <v>96.02</v>
      </c>
      <c r="R1210" s="5">
        <v>9.0</v>
      </c>
      <c r="S1210" s="5"/>
      <c r="T1210" s="5"/>
      <c r="U1210" s="5"/>
      <c r="V1210" s="5"/>
      <c r="W1210" s="5"/>
      <c r="X1210" s="4"/>
      <c r="Y1210" s="4"/>
    </row>
    <row r="1211" ht="22.5" customHeight="1">
      <c r="A1211" s="5" t="s">
        <v>26</v>
      </c>
      <c r="B1211" s="5" t="s">
        <v>158</v>
      </c>
      <c r="C1211" s="5">
        <v>2.0</v>
      </c>
      <c r="D1211" s="5" t="s">
        <v>159</v>
      </c>
      <c r="E1211" s="5">
        <v>11.0</v>
      </c>
      <c r="F1211" s="5">
        <v>0.015</v>
      </c>
      <c r="G1211" s="5">
        <v>100.0</v>
      </c>
      <c r="H1211" s="5">
        <v>4.0</v>
      </c>
      <c r="I1211" s="5">
        <v>96.0</v>
      </c>
      <c r="J1211" s="5">
        <v>100.0</v>
      </c>
      <c r="K1211" s="5">
        <v>144.0</v>
      </c>
      <c r="L1211" s="5">
        <v>100.0</v>
      </c>
      <c r="M1211" s="5">
        <v>2.0</v>
      </c>
      <c r="N1211" s="5">
        <v>0.078</v>
      </c>
      <c r="O1211" s="5">
        <v>100.0</v>
      </c>
      <c r="P1211" s="5">
        <v>2.0</v>
      </c>
      <c r="Q1211" s="5" t="s">
        <v>26</v>
      </c>
      <c r="R1211" s="5">
        <v>10.0</v>
      </c>
      <c r="S1211" s="5"/>
      <c r="T1211" s="5"/>
      <c r="U1211" s="5"/>
      <c r="V1211" s="5"/>
      <c r="W1211" s="5"/>
      <c r="X1211" s="4"/>
      <c r="Y1211" s="4"/>
    </row>
    <row r="1212" ht="22.5" customHeight="1">
      <c r="A1212" s="5">
        <v>1.375</v>
      </c>
      <c r="B1212" s="5" t="s">
        <v>160</v>
      </c>
      <c r="C1212" s="5">
        <v>2.0</v>
      </c>
      <c r="D1212" s="5" t="s">
        <v>161</v>
      </c>
      <c r="E1212" s="5">
        <v>24.0</v>
      </c>
      <c r="F1212" s="5">
        <v>0.046</v>
      </c>
      <c r="G1212" s="5">
        <v>100.0</v>
      </c>
      <c r="H1212" s="5">
        <v>5.0</v>
      </c>
      <c r="I1212" s="5">
        <v>250.0</v>
      </c>
      <c r="J1212" s="5">
        <v>100.0</v>
      </c>
      <c r="K1212" s="5">
        <v>500.0</v>
      </c>
      <c r="L1212" s="5">
        <v>100.0</v>
      </c>
      <c r="M1212" s="5">
        <v>4.0</v>
      </c>
      <c r="N1212" s="5">
        <v>0.266</v>
      </c>
      <c r="O1212" s="5">
        <v>100.0</v>
      </c>
      <c r="P1212" s="5">
        <v>4.0</v>
      </c>
      <c r="Q1212" s="5">
        <v>0.016</v>
      </c>
      <c r="R1212" s="5">
        <v>11.0</v>
      </c>
      <c r="S1212" s="5"/>
      <c r="T1212" s="5"/>
      <c r="U1212" s="5"/>
      <c r="V1212" s="5"/>
      <c r="W1212" s="5"/>
      <c r="X1212" s="4"/>
      <c r="Y1212" s="4"/>
    </row>
    <row r="1213" ht="22.5" customHeight="1">
      <c r="A1213" s="5">
        <v>84.95</v>
      </c>
      <c r="B1213" s="5" t="s">
        <v>162</v>
      </c>
      <c r="C1213" s="5">
        <v>6.0</v>
      </c>
      <c r="D1213" s="5" t="s">
        <v>163</v>
      </c>
      <c r="E1213" s="5">
        <v>159.0</v>
      </c>
      <c r="F1213" s="5">
        <v>79.296</v>
      </c>
      <c r="G1213" s="5">
        <v>82.29</v>
      </c>
      <c r="H1213" s="5">
        <v>46.0</v>
      </c>
      <c r="I1213" s="5">
        <v>14720.0</v>
      </c>
      <c r="J1213" s="5">
        <v>82.29</v>
      </c>
      <c r="K1213" s="5">
        <v>331200.0</v>
      </c>
      <c r="L1213" s="5">
        <v>87.13</v>
      </c>
      <c r="M1213" s="5">
        <v>6.0</v>
      </c>
      <c r="N1213" s="5">
        <v>681.655</v>
      </c>
      <c r="O1213" s="5">
        <v>86.54</v>
      </c>
      <c r="P1213" s="5">
        <v>14.0</v>
      </c>
      <c r="Q1213" s="5">
        <v>2075.418</v>
      </c>
      <c r="R1213" s="5">
        <v>12.0</v>
      </c>
      <c r="S1213" s="5"/>
      <c r="T1213" s="5"/>
      <c r="U1213" s="5"/>
      <c r="V1213" s="5"/>
      <c r="W1213" s="5"/>
      <c r="X1213" s="4"/>
      <c r="Y1213" s="4"/>
    </row>
    <row r="1214" ht="22.5" customHeight="1">
      <c r="A1214" s="5">
        <v>0.593</v>
      </c>
      <c r="B1214" s="5" t="s">
        <v>162</v>
      </c>
      <c r="C1214" s="5">
        <v>2.0</v>
      </c>
      <c r="D1214" s="5" t="s">
        <v>164</v>
      </c>
      <c r="E1214" s="5">
        <v>65.0</v>
      </c>
      <c r="F1214" s="5">
        <v>0.641</v>
      </c>
      <c r="G1214" s="5">
        <v>100.0</v>
      </c>
      <c r="H1214" s="5">
        <v>6.0</v>
      </c>
      <c r="I1214" s="5">
        <v>792.0</v>
      </c>
      <c r="J1214" s="5">
        <v>100.0</v>
      </c>
      <c r="K1214" s="5">
        <v>1980.0</v>
      </c>
      <c r="L1214" s="5">
        <v>100.0</v>
      </c>
      <c r="M1214" s="5">
        <v>5.0</v>
      </c>
      <c r="N1214" s="5">
        <v>1.344</v>
      </c>
      <c r="O1214" s="5">
        <v>100.0</v>
      </c>
      <c r="P1214" s="5">
        <v>5.0</v>
      </c>
      <c r="Q1214" s="5">
        <v>1.032</v>
      </c>
      <c r="R1214" s="5">
        <v>13.0</v>
      </c>
      <c r="S1214" s="5"/>
      <c r="T1214" s="5"/>
      <c r="U1214" s="5"/>
      <c r="V1214" s="5"/>
      <c r="W1214" s="5"/>
      <c r="X1214" s="4"/>
      <c r="Y1214" s="4"/>
    </row>
    <row r="1215" ht="22.5" customHeight="1">
      <c r="A1215" s="5" t="s">
        <v>190</v>
      </c>
      <c r="B1215" s="5" t="s">
        <v>165</v>
      </c>
      <c r="C1215" s="5">
        <v>7.0</v>
      </c>
      <c r="D1215" s="5" t="s">
        <v>166</v>
      </c>
      <c r="E1215" s="5">
        <v>281.0</v>
      </c>
      <c r="F1215" s="5">
        <v>1971.547</v>
      </c>
      <c r="G1215" s="5" t="s">
        <v>191</v>
      </c>
      <c r="H1215" s="5">
        <v>73.0</v>
      </c>
      <c r="I1215" s="5">
        <v>41172.0</v>
      </c>
      <c r="J1215" s="5">
        <v>99.9</v>
      </c>
      <c r="K1215" s="5">
        <v>1482192.0</v>
      </c>
      <c r="L1215" s="5" t="s">
        <v>191</v>
      </c>
      <c r="M1215" s="5" t="s">
        <v>191</v>
      </c>
      <c r="N1215" s="5" t="s">
        <v>190</v>
      </c>
      <c r="O1215" s="5" t="s">
        <v>191</v>
      </c>
      <c r="P1215" s="5" t="s">
        <v>191</v>
      </c>
      <c r="Q1215" s="5" t="s">
        <v>190</v>
      </c>
      <c r="R1215" s="5">
        <v>14.0</v>
      </c>
      <c r="S1215" s="5"/>
      <c r="T1215" s="5"/>
      <c r="U1215" s="5"/>
      <c r="V1215" s="5"/>
      <c r="W1215" s="5"/>
      <c r="X1215" s="4"/>
      <c r="Y1215" s="4"/>
    </row>
    <row r="1216" ht="22.5" customHeight="1">
      <c r="A1216" s="5">
        <v>6.875</v>
      </c>
      <c r="B1216" s="5" t="s">
        <v>165</v>
      </c>
      <c r="C1216" s="5">
        <v>2.0</v>
      </c>
      <c r="D1216" s="5" t="s">
        <v>167</v>
      </c>
      <c r="E1216" s="5">
        <v>166.0</v>
      </c>
      <c r="F1216" s="5">
        <v>7.5</v>
      </c>
      <c r="G1216" s="5">
        <v>100.0</v>
      </c>
      <c r="H1216" s="5">
        <v>7.0</v>
      </c>
      <c r="I1216" s="5">
        <v>2338.0</v>
      </c>
      <c r="J1216" s="5">
        <v>100.0</v>
      </c>
      <c r="K1216" s="5">
        <v>7014.0</v>
      </c>
      <c r="L1216" s="5">
        <v>100.0</v>
      </c>
      <c r="M1216" s="5">
        <v>7.0</v>
      </c>
      <c r="N1216" s="5">
        <v>520.108</v>
      </c>
      <c r="O1216" s="5">
        <v>99.86</v>
      </c>
      <c r="P1216" s="5">
        <v>7.0</v>
      </c>
      <c r="Q1216" s="5">
        <v>7.344</v>
      </c>
      <c r="R1216" s="5">
        <v>15.0</v>
      </c>
      <c r="S1216" s="5"/>
      <c r="T1216" s="5"/>
      <c r="U1216" s="5"/>
      <c r="V1216" s="5"/>
      <c r="W1216" s="5"/>
      <c r="X1216" s="4"/>
      <c r="Y1216" s="4"/>
    </row>
    <row r="1217" ht="22.5" customHeight="1">
      <c r="A1217" s="5">
        <v>3.437</v>
      </c>
      <c r="B1217" s="5" t="s">
        <v>168</v>
      </c>
      <c r="C1217" s="5">
        <v>11.0</v>
      </c>
      <c r="D1217" s="5" t="s">
        <v>169</v>
      </c>
      <c r="E1217" s="5">
        <v>35.0</v>
      </c>
      <c r="F1217" s="5">
        <v>3.687</v>
      </c>
      <c r="G1217" s="5">
        <v>86.36</v>
      </c>
      <c r="H1217" s="5">
        <v>22.0</v>
      </c>
      <c r="I1217" s="5">
        <v>1584.0</v>
      </c>
      <c r="J1217" s="5">
        <v>99.94</v>
      </c>
      <c r="K1217" s="5">
        <v>16632.0</v>
      </c>
      <c r="L1217" s="5">
        <v>100.0</v>
      </c>
      <c r="M1217" s="5">
        <v>14.0</v>
      </c>
      <c r="N1217" s="5">
        <v>90.024</v>
      </c>
      <c r="O1217" s="5">
        <v>93.94</v>
      </c>
      <c r="P1217" s="5">
        <v>11.0</v>
      </c>
      <c r="Q1217" s="5">
        <v>14.534</v>
      </c>
      <c r="R1217" s="5">
        <v>16.0</v>
      </c>
      <c r="S1217" s="5"/>
      <c r="T1217" s="5"/>
      <c r="U1217" s="5"/>
      <c r="V1217" s="5"/>
      <c r="W1217" s="5"/>
      <c r="X1217" s="4"/>
      <c r="Y1217" s="4"/>
    </row>
    <row r="1218" ht="22.5" customHeight="1">
      <c r="A1218" s="5" t="s">
        <v>26</v>
      </c>
      <c r="B1218" s="5" t="s">
        <v>170</v>
      </c>
      <c r="C1218" s="5">
        <v>4.0</v>
      </c>
      <c r="D1218" s="5" t="s">
        <v>171</v>
      </c>
      <c r="E1218" s="5">
        <v>11.0</v>
      </c>
      <c r="F1218" s="5">
        <v>1.171</v>
      </c>
      <c r="G1218" s="5">
        <v>95.83</v>
      </c>
      <c r="H1218" s="5">
        <v>5.0</v>
      </c>
      <c r="I1218" s="5">
        <v>120.0</v>
      </c>
      <c r="J1218" s="5">
        <v>95.83</v>
      </c>
      <c r="K1218" s="5">
        <v>240.0</v>
      </c>
      <c r="L1218" s="5">
        <v>86.67</v>
      </c>
      <c r="M1218" s="5">
        <v>4.0</v>
      </c>
      <c r="N1218" s="5">
        <v>0.015</v>
      </c>
      <c r="O1218" s="5">
        <v>86.67</v>
      </c>
      <c r="P1218" s="5">
        <v>3.0</v>
      </c>
      <c r="Q1218" s="5">
        <v>0.01</v>
      </c>
      <c r="R1218" s="5">
        <v>17.0</v>
      </c>
      <c r="S1218" s="5"/>
      <c r="T1218" s="5"/>
      <c r="U1218" s="5"/>
      <c r="V1218" s="5"/>
      <c r="W1218" s="5"/>
      <c r="X1218" s="4"/>
      <c r="Y1218" s="4"/>
    </row>
    <row r="1219" ht="22.5" customHeight="1">
      <c r="A1219" s="5">
        <v>0.078</v>
      </c>
      <c r="B1219" s="5" t="s">
        <v>172</v>
      </c>
      <c r="C1219" s="5">
        <v>3.0</v>
      </c>
      <c r="D1219" s="5" t="s">
        <v>173</v>
      </c>
      <c r="E1219" s="5">
        <v>28.0</v>
      </c>
      <c r="F1219" s="5">
        <v>0.062</v>
      </c>
      <c r="G1219" s="5">
        <v>98.28</v>
      </c>
      <c r="H1219" s="5">
        <v>7.0</v>
      </c>
      <c r="I1219" s="5">
        <v>406.0</v>
      </c>
      <c r="J1219" s="5">
        <v>98.28</v>
      </c>
      <c r="K1219" s="5">
        <v>1218.0</v>
      </c>
      <c r="L1219" s="5">
        <v>99.84</v>
      </c>
      <c r="M1219" s="5">
        <v>5.0</v>
      </c>
      <c r="N1219" s="5">
        <v>0.124</v>
      </c>
      <c r="O1219" s="5">
        <v>99.84</v>
      </c>
      <c r="P1219" s="5">
        <v>5.0</v>
      </c>
      <c r="Q1219" s="5">
        <v>0.234</v>
      </c>
      <c r="R1219" s="5">
        <v>18.0</v>
      </c>
      <c r="S1219" s="5"/>
      <c r="T1219" s="5"/>
      <c r="U1219" s="5"/>
      <c r="V1219" s="5"/>
      <c r="W1219" s="5"/>
      <c r="X1219" s="4"/>
      <c r="Y1219" s="4"/>
    </row>
    <row r="1220" ht="22.5" customHeight="1">
      <c r="A1220" s="5">
        <v>235.418</v>
      </c>
      <c r="B1220" s="5" t="s">
        <v>174</v>
      </c>
      <c r="C1220" s="5">
        <v>8.0</v>
      </c>
      <c r="D1220" s="5" t="s">
        <v>175</v>
      </c>
      <c r="E1220" s="5">
        <v>104.0</v>
      </c>
      <c r="F1220" s="5">
        <v>252.99</v>
      </c>
      <c r="G1220" s="5">
        <v>79.3</v>
      </c>
      <c r="H1220" s="5">
        <v>34.0</v>
      </c>
      <c r="I1220" s="5">
        <v>7140.0</v>
      </c>
      <c r="J1220" s="5">
        <v>79.43</v>
      </c>
      <c r="K1220" s="5">
        <v>117810.0</v>
      </c>
      <c r="L1220" s="5">
        <v>87.55</v>
      </c>
      <c r="M1220" s="5">
        <v>22.0</v>
      </c>
      <c r="N1220" s="5">
        <v>677.573</v>
      </c>
      <c r="O1220" s="5">
        <v>87.43</v>
      </c>
      <c r="P1220" s="5">
        <v>22.0</v>
      </c>
      <c r="Q1220" s="5">
        <v>627.14</v>
      </c>
      <c r="R1220" s="5">
        <v>19.0</v>
      </c>
      <c r="S1220" s="5"/>
      <c r="T1220" s="5"/>
      <c r="U1220" s="5"/>
      <c r="V1220" s="5"/>
      <c r="W1220" s="5"/>
      <c r="X1220" s="4"/>
      <c r="Y1220" s="4"/>
    </row>
    <row r="1221" ht="22.5" customHeight="1">
      <c r="A1221" s="5">
        <v>10.515</v>
      </c>
      <c r="B1221" s="5" t="s">
        <v>176</v>
      </c>
      <c r="C1221" s="5">
        <v>12.0</v>
      </c>
      <c r="D1221" s="5" t="s">
        <v>177</v>
      </c>
      <c r="E1221" s="5">
        <v>44.0</v>
      </c>
      <c r="F1221" s="5">
        <v>73.207</v>
      </c>
      <c r="G1221" s="5">
        <v>96.01</v>
      </c>
      <c r="H1221" s="5">
        <v>17.0</v>
      </c>
      <c r="I1221" s="5">
        <v>1530.0</v>
      </c>
      <c r="J1221" s="5">
        <v>99.87</v>
      </c>
      <c r="K1221" s="5">
        <v>12240.0</v>
      </c>
      <c r="L1221" s="5">
        <v>99.98</v>
      </c>
      <c r="M1221" s="5">
        <v>9.0</v>
      </c>
      <c r="N1221" s="5">
        <v>31.316</v>
      </c>
      <c r="O1221" s="5">
        <v>99.77</v>
      </c>
      <c r="P1221" s="5">
        <v>8.0</v>
      </c>
      <c r="Q1221" s="5">
        <v>61.864</v>
      </c>
      <c r="R1221" s="5">
        <v>20.0</v>
      </c>
      <c r="S1221" s="5"/>
      <c r="T1221" s="5"/>
      <c r="U1221" s="5"/>
      <c r="V1221" s="5"/>
      <c r="W1221" s="5"/>
      <c r="X1221" s="4"/>
      <c r="Y1221" s="4"/>
    </row>
    <row r="1222" ht="22.5" customHeight="1">
      <c r="A1222" s="5">
        <v>2.658</v>
      </c>
      <c r="B1222" s="5" t="s">
        <v>179</v>
      </c>
      <c r="C1222" s="5">
        <v>6.0</v>
      </c>
      <c r="D1222" s="5" t="s">
        <v>180</v>
      </c>
      <c r="E1222" s="5">
        <v>43.0</v>
      </c>
      <c r="F1222" s="5">
        <v>2.82</v>
      </c>
      <c r="G1222" s="5">
        <v>94.67</v>
      </c>
      <c r="H1222" s="5">
        <v>13.0</v>
      </c>
      <c r="I1222" s="5">
        <v>1144.0</v>
      </c>
      <c r="J1222" s="5">
        <v>94.67</v>
      </c>
      <c r="K1222" s="5">
        <v>6864.0</v>
      </c>
      <c r="L1222" s="5">
        <v>95.92</v>
      </c>
      <c r="M1222" s="5">
        <v>8.0</v>
      </c>
      <c r="N1222" s="5">
        <v>8.628</v>
      </c>
      <c r="O1222" s="5">
        <v>95.92</v>
      </c>
      <c r="P1222" s="5">
        <v>7.0</v>
      </c>
      <c r="Q1222" s="5">
        <v>4.047</v>
      </c>
      <c r="R1222" s="5">
        <v>21.0</v>
      </c>
      <c r="S1222" s="5"/>
      <c r="T1222" s="5"/>
      <c r="U1222" s="5"/>
      <c r="V1222" s="5"/>
      <c r="W1222" s="5"/>
      <c r="X1222" s="4"/>
      <c r="Y1222" s="4"/>
    </row>
    <row r="1223" ht="22.5" customHeight="1">
      <c r="A1223" s="5">
        <v>0.922</v>
      </c>
      <c r="B1223" s="5" t="s">
        <v>181</v>
      </c>
      <c r="C1223" s="5">
        <v>7.0</v>
      </c>
      <c r="D1223" s="5" t="s">
        <v>182</v>
      </c>
      <c r="E1223" s="5">
        <v>29.0</v>
      </c>
      <c r="F1223" s="5">
        <v>0.891</v>
      </c>
      <c r="G1223" s="5">
        <v>91.31</v>
      </c>
      <c r="H1223" s="5">
        <v>14.0</v>
      </c>
      <c r="I1223" s="5">
        <v>840.0</v>
      </c>
      <c r="J1223" s="5">
        <v>91.31</v>
      </c>
      <c r="K1223" s="5">
        <v>5460.0</v>
      </c>
      <c r="L1223" s="5">
        <v>96.15</v>
      </c>
      <c r="M1223" s="5">
        <v>12.0</v>
      </c>
      <c r="N1223" s="5">
        <v>1.687</v>
      </c>
      <c r="O1223" s="5">
        <v>96.08</v>
      </c>
      <c r="P1223" s="5">
        <v>13.0</v>
      </c>
      <c r="Q1223" s="5">
        <v>13.609</v>
      </c>
      <c r="R1223" s="5">
        <v>22.0</v>
      </c>
      <c r="S1223" s="5"/>
      <c r="T1223" s="5"/>
      <c r="U1223" s="5"/>
      <c r="V1223" s="5"/>
      <c r="W1223" s="5"/>
      <c r="X1223" s="4"/>
      <c r="Y1223" s="4"/>
    </row>
    <row r="1224" ht="22.5" customHeight="1">
      <c r="A1224" s="5">
        <v>93.485</v>
      </c>
      <c r="B1224" s="5" t="s">
        <v>183</v>
      </c>
      <c r="C1224" s="5">
        <v>10.0</v>
      </c>
      <c r="D1224" s="5" t="s">
        <v>184</v>
      </c>
      <c r="E1224" s="5">
        <v>210.0</v>
      </c>
      <c r="F1224" s="5">
        <v>101.898</v>
      </c>
      <c r="G1224" s="5">
        <v>99.27</v>
      </c>
      <c r="H1224" s="5">
        <v>10.0</v>
      </c>
      <c r="I1224" s="5">
        <v>4220.0</v>
      </c>
      <c r="J1224" s="5">
        <v>99.98</v>
      </c>
      <c r="K1224" s="5">
        <v>18990.0</v>
      </c>
      <c r="L1224" s="5">
        <v>100.0</v>
      </c>
      <c r="M1224" s="5">
        <v>9.0</v>
      </c>
      <c r="N1224" s="5">
        <v>43.89</v>
      </c>
      <c r="O1224" s="5">
        <v>100.0</v>
      </c>
      <c r="P1224" s="5">
        <v>9.0</v>
      </c>
      <c r="Q1224" s="5">
        <v>48.831</v>
      </c>
      <c r="R1224" s="5">
        <v>23.0</v>
      </c>
      <c r="S1224" s="5"/>
      <c r="T1224" s="5"/>
      <c r="U1224" s="5"/>
      <c r="V1224" s="5"/>
      <c r="W1224" s="5"/>
      <c r="X1224" s="4"/>
      <c r="Y1224" s="4"/>
    </row>
    <row r="1225" ht="22.5" customHeight="1">
      <c r="A1225" s="5">
        <v>0.515</v>
      </c>
      <c r="B1225" s="5" t="s">
        <v>185</v>
      </c>
      <c r="C1225" s="5">
        <v>5.0</v>
      </c>
      <c r="D1225" s="5" t="s">
        <v>186</v>
      </c>
      <c r="E1225" s="5">
        <v>15.0</v>
      </c>
      <c r="F1225" s="5">
        <v>0.141</v>
      </c>
      <c r="G1225" s="5">
        <v>95.63</v>
      </c>
      <c r="H1225" s="5">
        <v>10.0</v>
      </c>
      <c r="I1225" s="5">
        <v>320.0</v>
      </c>
      <c r="J1225" s="5">
        <v>95.63</v>
      </c>
      <c r="K1225" s="5">
        <v>1350.0</v>
      </c>
      <c r="L1225" s="5">
        <v>98.47</v>
      </c>
      <c r="M1225" s="5">
        <v>7.0</v>
      </c>
      <c r="N1225" s="5">
        <v>0.25</v>
      </c>
      <c r="O1225" s="5">
        <v>98.47</v>
      </c>
      <c r="P1225" s="5">
        <v>8.0</v>
      </c>
      <c r="Q1225" s="5">
        <v>0.829</v>
      </c>
      <c r="R1225" s="5">
        <v>24.0</v>
      </c>
      <c r="S1225" s="5"/>
      <c r="T1225" s="5"/>
      <c r="U1225" s="5"/>
      <c r="V1225" s="5"/>
      <c r="W1225" s="5"/>
      <c r="X1225" s="4"/>
      <c r="Y1225" s="4"/>
    </row>
    <row r="1226" ht="22.5" customHeight="1">
      <c r="A1226" s="5">
        <v>723.68</v>
      </c>
      <c r="B1226" s="5" t="s">
        <v>187</v>
      </c>
      <c r="C1226" s="5">
        <v>8.0</v>
      </c>
      <c r="D1226" s="5">
        <v>2.0</v>
      </c>
      <c r="E1226" s="5">
        <v>3144.0</v>
      </c>
      <c r="F1226" s="5">
        <v>184.11</v>
      </c>
      <c r="G1226" s="5">
        <v>99.86</v>
      </c>
      <c r="H1226" s="5">
        <v>8.0</v>
      </c>
      <c r="I1226" s="5">
        <v>50320.0</v>
      </c>
      <c r="J1226" s="5">
        <v>99.9</v>
      </c>
      <c r="K1226" s="5">
        <v>176064.0</v>
      </c>
      <c r="L1226" s="5">
        <v>99.73</v>
      </c>
      <c r="M1226" s="5">
        <v>8.0</v>
      </c>
      <c r="N1226" s="5">
        <v>2590.541</v>
      </c>
      <c r="O1226" s="5">
        <v>99.73</v>
      </c>
      <c r="P1226" s="5">
        <v>8.0</v>
      </c>
      <c r="Q1226" s="5">
        <v>2597.485</v>
      </c>
      <c r="R1226" s="5">
        <v>25.0</v>
      </c>
      <c r="S1226" s="5"/>
      <c r="T1226" s="5"/>
      <c r="U1226" s="5"/>
      <c r="V1226" s="5"/>
      <c r="W1226" s="5"/>
      <c r="X1226" s="4"/>
      <c r="Y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</row>
  </sheetData>
  <dataValidations>
    <dataValidation type="custom" allowBlank="1" showDropDown="1" sqref="D1103:J1127 D1133:J1157">
      <formula1>AND(ISNUMBER(D1103),(NOT(OR(NOT(ISERROR(DATEVALUE(D1103))), AND(ISNUMBER(D1103), LEFT(CELL("format", D1103))="D")))))</formula1>
    </dataValidation>
    <dataValidation type="custom" allowBlank="1" showDropDown="1" sqref="D2:E268 H2:H268 J2:J268 M2:M268 A1172:A1196 C1172:C1196 E1172:Q1196">
      <formula1>AND(ISNUMBER(A2),(NOT(OR(NOT(ISERROR(DATEVALUE(A2))), AND(ISNUMBER(A2), LEFT(CELL("format", A2))="D")))))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38"/>
    <col customWidth="1" min="2" max="2" width="24.88"/>
    <col customWidth="1" min="3" max="4" width="18.38"/>
    <col customWidth="1" min="5" max="5" width="12.38"/>
    <col customWidth="1" min="6" max="6" width="13.0"/>
    <col customWidth="1" min="7" max="7" width="9.88"/>
    <col customWidth="1" min="8" max="8" width="12.5"/>
    <col customWidth="1" min="9" max="9" width="13.88"/>
    <col customWidth="1" min="10" max="14" width="10.5"/>
    <col customWidth="1" min="15" max="23" width="12.25"/>
  </cols>
  <sheetData>
    <row r="1" ht="22.5" customHeight="1">
      <c r="A1" s="37" t="s">
        <v>1</v>
      </c>
      <c r="B1" s="46" t="s">
        <v>2</v>
      </c>
      <c r="C1" s="37" t="s">
        <v>192</v>
      </c>
      <c r="D1" s="47" t="s">
        <v>193</v>
      </c>
      <c r="E1" s="37" t="s">
        <v>194</v>
      </c>
      <c r="F1" s="37" t="s">
        <v>195</v>
      </c>
      <c r="G1" s="47" t="s">
        <v>131</v>
      </c>
      <c r="H1" s="37" t="s">
        <v>196</v>
      </c>
      <c r="I1" s="37" t="s">
        <v>197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4"/>
      <c r="W1" s="4"/>
      <c r="X1" s="4"/>
      <c r="Y1" s="4"/>
      <c r="Z1" s="4"/>
    </row>
    <row r="2" ht="22.5" customHeight="1">
      <c r="A2" s="38" t="s">
        <v>198</v>
      </c>
      <c r="B2" s="48" t="s">
        <v>199</v>
      </c>
      <c r="C2" s="49" t="s">
        <v>200</v>
      </c>
      <c r="D2" s="43" t="s">
        <v>201</v>
      </c>
      <c r="E2" s="39">
        <v>286.0</v>
      </c>
      <c r="F2" s="43">
        <v>0.0</v>
      </c>
      <c r="G2" s="50">
        <f t="shared" ref="G2:G11" si="1">E2+F2</f>
        <v>286</v>
      </c>
      <c r="H2" s="39">
        <v>4.0</v>
      </c>
      <c r="I2" s="41">
        <v>4.0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4"/>
      <c r="W2" s="4"/>
      <c r="X2" s="4"/>
      <c r="Y2" s="4"/>
      <c r="Z2" s="4"/>
    </row>
    <row r="3" ht="22.5" customHeight="1">
      <c r="A3" s="38" t="s">
        <v>202</v>
      </c>
      <c r="B3" s="48" t="s">
        <v>44</v>
      </c>
      <c r="C3" s="49" t="s">
        <v>203</v>
      </c>
      <c r="D3" s="43" t="s">
        <v>201</v>
      </c>
      <c r="E3" s="39">
        <v>684.0</v>
      </c>
      <c r="F3" s="43">
        <v>0.0</v>
      </c>
      <c r="G3" s="50">
        <f t="shared" si="1"/>
        <v>684</v>
      </c>
      <c r="H3" s="39">
        <v>6.0</v>
      </c>
      <c r="I3" s="41">
        <v>7.0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4"/>
      <c r="W3" s="4"/>
      <c r="X3" s="4"/>
      <c r="Y3" s="4"/>
      <c r="Z3" s="4"/>
    </row>
    <row r="4" ht="22.5" customHeight="1">
      <c r="A4" s="51" t="s">
        <v>156</v>
      </c>
      <c r="B4" s="51" t="s">
        <v>48</v>
      </c>
      <c r="C4" s="52" t="s">
        <v>204</v>
      </c>
      <c r="D4" s="43" t="s">
        <v>205</v>
      </c>
      <c r="E4" s="53">
        <v>8712032.0</v>
      </c>
      <c r="F4" s="53">
        <v>998.0</v>
      </c>
      <c r="G4" s="50">
        <f t="shared" si="1"/>
        <v>8713030</v>
      </c>
      <c r="H4" s="53">
        <v>15.0</v>
      </c>
      <c r="I4" s="54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4"/>
      <c r="W4" s="4"/>
      <c r="X4" s="4"/>
      <c r="Y4" s="4"/>
      <c r="Z4" s="4"/>
    </row>
    <row r="5" ht="22.5" customHeight="1">
      <c r="A5" s="38" t="s">
        <v>206</v>
      </c>
      <c r="B5" s="48" t="s">
        <v>52</v>
      </c>
      <c r="C5" s="49" t="s">
        <v>207</v>
      </c>
      <c r="D5" s="43" t="s">
        <v>201</v>
      </c>
      <c r="E5" s="39">
        <v>48.0</v>
      </c>
      <c r="F5" s="43">
        <v>0.0</v>
      </c>
      <c r="G5" s="50">
        <f t="shared" si="1"/>
        <v>48</v>
      </c>
      <c r="H5" s="39">
        <v>3.0</v>
      </c>
      <c r="I5" s="41">
        <v>4.0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4"/>
      <c r="W5" s="4"/>
      <c r="X5" s="4"/>
      <c r="Y5" s="4"/>
      <c r="Z5" s="4"/>
    </row>
    <row r="6" ht="22.5" customHeight="1">
      <c r="A6" s="38" t="s">
        <v>208</v>
      </c>
      <c r="B6" s="48" t="s">
        <v>54</v>
      </c>
      <c r="C6" s="49" t="s">
        <v>209</v>
      </c>
      <c r="D6" s="43" t="s">
        <v>201</v>
      </c>
      <c r="E6" s="39">
        <v>5760.0</v>
      </c>
      <c r="F6" s="43">
        <v>0.0</v>
      </c>
      <c r="G6" s="50">
        <f t="shared" si="1"/>
        <v>5760</v>
      </c>
      <c r="H6" s="39">
        <v>7.0</v>
      </c>
      <c r="I6" s="41">
        <v>7.0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4"/>
      <c r="W6" s="4"/>
      <c r="X6" s="4"/>
      <c r="Y6" s="4"/>
      <c r="Z6" s="4"/>
    </row>
    <row r="7" ht="22.5" customHeight="1">
      <c r="A7" s="55" t="s">
        <v>162</v>
      </c>
      <c r="B7" s="55" t="s">
        <v>74</v>
      </c>
      <c r="C7" s="56">
        <v>45814.0</v>
      </c>
      <c r="D7" s="43" t="s">
        <v>205</v>
      </c>
      <c r="E7" s="57">
        <v>21736.0</v>
      </c>
      <c r="F7" s="57">
        <v>964.0</v>
      </c>
      <c r="G7" s="50">
        <f t="shared" si="1"/>
        <v>22700</v>
      </c>
      <c r="H7" s="57">
        <v>6.0</v>
      </c>
      <c r="I7" s="58">
        <v>4.0</v>
      </c>
      <c r="J7" s="4"/>
      <c r="K7" s="4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4"/>
      <c r="Y7" s="4"/>
      <c r="Z7" s="4"/>
    </row>
    <row r="8" ht="22.5" customHeight="1">
      <c r="A8" s="51" t="s">
        <v>165</v>
      </c>
      <c r="B8" s="51" t="s">
        <v>78</v>
      </c>
      <c r="C8" s="59">
        <v>45845.0</v>
      </c>
      <c r="D8" s="43" t="s">
        <v>205</v>
      </c>
      <c r="E8" s="53">
        <v>69600.0</v>
      </c>
      <c r="F8" s="53">
        <v>2320.0</v>
      </c>
      <c r="G8" s="50">
        <f t="shared" si="1"/>
        <v>71920</v>
      </c>
      <c r="H8" s="53">
        <v>7.0</v>
      </c>
      <c r="I8" s="60"/>
      <c r="J8" s="4"/>
      <c r="K8" s="4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4"/>
      <c r="Y8" s="4"/>
      <c r="Z8" s="4"/>
    </row>
    <row r="9" ht="22.5" customHeight="1">
      <c r="A9" s="38" t="s">
        <v>210</v>
      </c>
      <c r="B9" s="48" t="s">
        <v>102</v>
      </c>
      <c r="C9" s="49" t="s">
        <v>200</v>
      </c>
      <c r="D9" s="43" t="s">
        <v>201</v>
      </c>
      <c r="E9" s="39">
        <v>110.0</v>
      </c>
      <c r="F9" s="43">
        <v>0.0</v>
      </c>
      <c r="G9" s="50">
        <f t="shared" si="1"/>
        <v>110</v>
      </c>
      <c r="H9" s="39">
        <v>4.0</v>
      </c>
      <c r="I9" s="41">
        <v>2.0</v>
      </c>
      <c r="J9" s="4"/>
      <c r="K9" s="4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4"/>
      <c r="Y9" s="4"/>
      <c r="Z9" s="4"/>
    </row>
    <row r="10" ht="22.5" customHeight="1">
      <c r="A10" s="55" t="s">
        <v>211</v>
      </c>
      <c r="B10" s="55" t="s">
        <v>116</v>
      </c>
      <c r="C10" s="56">
        <v>45809.0</v>
      </c>
      <c r="D10" s="43" t="s">
        <v>205</v>
      </c>
      <c r="E10" s="57">
        <v>42546.0</v>
      </c>
      <c r="F10" s="57">
        <v>126.0</v>
      </c>
      <c r="G10" s="50">
        <f t="shared" si="1"/>
        <v>42672</v>
      </c>
      <c r="H10" s="57">
        <v>6.0</v>
      </c>
      <c r="I10" s="58">
        <v>2.0</v>
      </c>
      <c r="J10" s="4"/>
      <c r="K10" s="4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4"/>
      <c r="Y10" s="4"/>
      <c r="Z10" s="4"/>
    </row>
    <row r="11" ht="22.5" customHeight="1">
      <c r="A11" s="51" t="s">
        <v>212</v>
      </c>
      <c r="B11" s="51" t="s">
        <v>118</v>
      </c>
      <c r="C11" s="59">
        <v>45901.0</v>
      </c>
      <c r="D11" s="43" t="s">
        <v>205</v>
      </c>
      <c r="E11" s="53">
        <v>236814.0</v>
      </c>
      <c r="F11" s="53">
        <v>170.0</v>
      </c>
      <c r="G11" s="50">
        <f t="shared" si="1"/>
        <v>236984</v>
      </c>
      <c r="H11" s="53">
        <v>9.0</v>
      </c>
      <c r="I11" s="60"/>
      <c r="J11" s="4"/>
      <c r="K11" s="4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4"/>
      <c r="Y19" s="4"/>
      <c r="Z19" s="4"/>
    </row>
    <row r="20">
      <c r="A20" s="36"/>
      <c r="B20" s="36"/>
      <c r="C20" s="36"/>
      <c r="D20" s="4"/>
      <c r="E20" s="36"/>
      <c r="F20" s="4"/>
      <c r="G20" s="4"/>
      <c r="H20" s="36"/>
      <c r="I20" s="4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4"/>
      <c r="W20" s="4"/>
      <c r="X20" s="4"/>
      <c r="Y20" s="4"/>
      <c r="Z20" s="4"/>
    </row>
    <row r="21">
      <c r="A21" s="36"/>
      <c r="B21" s="36"/>
      <c r="C21" s="36"/>
      <c r="D21" s="4"/>
      <c r="E21" s="36"/>
      <c r="F21" s="4"/>
      <c r="G21" s="4"/>
      <c r="H21" s="36"/>
      <c r="I21" s="4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4"/>
      <c r="W21" s="4"/>
      <c r="X21" s="4"/>
      <c r="Y21" s="4"/>
      <c r="Z21" s="4"/>
    </row>
    <row r="22">
      <c r="A22" s="36"/>
      <c r="B22" s="36"/>
      <c r="C22" s="36"/>
      <c r="D22" s="4"/>
      <c r="E22" s="36"/>
      <c r="F22" s="4"/>
      <c r="G22" s="4"/>
      <c r="H22" s="36"/>
      <c r="I22" s="4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4"/>
      <c r="W22" s="4"/>
      <c r="X22" s="4"/>
      <c r="Y22" s="4"/>
      <c r="Z22" s="4"/>
    </row>
    <row r="23">
      <c r="A23" s="36"/>
      <c r="B23" s="36"/>
      <c r="C23" s="36"/>
      <c r="D23" s="4"/>
      <c r="E23" s="36"/>
      <c r="F23" s="4"/>
      <c r="G23" s="4"/>
      <c r="H23" s="36"/>
      <c r="I23" s="4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1"/>
      <c r="B28" s="61"/>
      <c r="C28" s="61"/>
      <c r="D28" s="61"/>
      <c r="E28" s="61"/>
      <c r="F28" s="61"/>
      <c r="G28" s="61"/>
      <c r="H28" s="6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1"/>
      <c r="B29" s="61"/>
      <c r="C29" s="61"/>
      <c r="D29" s="61"/>
      <c r="E29" s="61"/>
      <c r="F29" s="61"/>
      <c r="G29" s="61"/>
      <c r="H29" s="6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1"/>
      <c r="B30" s="61"/>
      <c r="C30" s="61"/>
      <c r="D30" s="61"/>
      <c r="E30" s="61"/>
      <c r="F30" s="61"/>
      <c r="G30" s="61"/>
      <c r="H30" s="6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1"/>
      <c r="B31" s="61"/>
      <c r="C31" s="61"/>
      <c r="D31" s="61"/>
      <c r="E31" s="61"/>
      <c r="F31" s="61"/>
      <c r="G31" s="61"/>
      <c r="H31" s="6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1"/>
      <c r="B32" s="61"/>
      <c r="C32" s="61"/>
      <c r="D32" s="61"/>
      <c r="E32" s="61"/>
      <c r="F32" s="61"/>
      <c r="G32" s="61"/>
      <c r="H32" s="6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1"/>
      <c r="B33" s="61"/>
      <c r="C33" s="61"/>
      <c r="D33" s="61"/>
      <c r="E33" s="61"/>
      <c r="F33" s="61"/>
      <c r="G33" s="61"/>
      <c r="H33" s="6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qref="D2:D11">
      <formula1>"SBF,MBF,SAF"</formula1>
    </dataValidation>
    <dataValidation type="custom" allowBlank="1" showDropDown="1" sqref="E2:E11 H2:H1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63"/>
    <col customWidth="1" min="2" max="2" width="28.38"/>
    <col customWidth="1" min="3" max="4" width="11.38"/>
    <col customWidth="1" min="5" max="5" width="14.38"/>
    <col customWidth="1" min="6" max="6" width="13.25"/>
    <col customWidth="1" min="7" max="7" width="14.5"/>
    <col customWidth="1" min="8" max="8" width="18.38"/>
    <col customWidth="1" min="9" max="24" width="11.38"/>
  </cols>
  <sheetData>
    <row r="1" ht="22.5" customHeight="1">
      <c r="A1" s="2" t="s">
        <v>1</v>
      </c>
      <c r="B1" s="2" t="s">
        <v>2</v>
      </c>
      <c r="C1" s="2" t="s">
        <v>213</v>
      </c>
      <c r="D1" s="2" t="s">
        <v>214</v>
      </c>
      <c r="E1" s="62" t="s">
        <v>193</v>
      </c>
      <c r="F1" s="41" t="s">
        <v>215</v>
      </c>
      <c r="G1" s="2" t="s">
        <v>216</v>
      </c>
      <c r="H1" s="41" t="s">
        <v>217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4"/>
      <c r="U1" s="64"/>
      <c r="V1" s="65"/>
      <c r="W1" s="65"/>
      <c r="X1" s="65"/>
      <c r="Y1" s="65"/>
      <c r="Z1" s="65"/>
    </row>
    <row r="2" ht="22.5" customHeight="1">
      <c r="A2" s="55" t="s">
        <v>25</v>
      </c>
      <c r="B2" s="13" t="s">
        <v>25</v>
      </c>
      <c r="C2" s="53">
        <v>13.0</v>
      </c>
      <c r="D2" s="51">
        <v>6.0</v>
      </c>
      <c r="E2" s="41" t="s">
        <v>218</v>
      </c>
      <c r="F2" s="39">
        <v>34.0</v>
      </c>
      <c r="G2" s="13">
        <v>7.0</v>
      </c>
      <c r="H2" s="66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4"/>
      <c r="U2" s="64"/>
      <c r="V2" s="65"/>
      <c r="W2" s="65"/>
      <c r="X2" s="65"/>
      <c r="Y2" s="65"/>
      <c r="Z2" s="65"/>
    </row>
    <row r="3" ht="22.5" customHeight="1">
      <c r="A3" s="51" t="s">
        <v>25</v>
      </c>
      <c r="B3" s="13" t="s">
        <v>25</v>
      </c>
      <c r="C3" s="53">
        <v>13.0</v>
      </c>
      <c r="D3" s="51">
        <v>6.0</v>
      </c>
      <c r="E3" s="41" t="s">
        <v>219</v>
      </c>
      <c r="F3" s="39">
        <v>34.0</v>
      </c>
      <c r="G3" s="13">
        <v>6.0</v>
      </c>
      <c r="H3" s="67">
        <v>2.0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4"/>
      <c r="U3" s="64"/>
      <c r="V3" s="65"/>
      <c r="W3" s="65"/>
      <c r="X3" s="65"/>
      <c r="Y3" s="65"/>
      <c r="Z3" s="65"/>
    </row>
    <row r="4" ht="22.5" customHeight="1">
      <c r="A4" s="55" t="s">
        <v>25</v>
      </c>
      <c r="B4" s="13" t="s">
        <v>25</v>
      </c>
      <c r="C4" s="53">
        <v>13.0</v>
      </c>
      <c r="D4" s="51">
        <v>6.0</v>
      </c>
      <c r="E4" s="41" t="s">
        <v>18</v>
      </c>
      <c r="F4" s="39">
        <v>34.0</v>
      </c>
      <c r="G4" s="13">
        <v>6.0</v>
      </c>
      <c r="H4" s="67">
        <v>3.0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4"/>
      <c r="U4" s="64"/>
      <c r="V4" s="65"/>
      <c r="W4" s="65"/>
      <c r="X4" s="65"/>
      <c r="Y4" s="65"/>
      <c r="Z4" s="65"/>
    </row>
    <row r="5" ht="22.5" customHeight="1">
      <c r="A5" s="51" t="s">
        <v>25</v>
      </c>
      <c r="B5" s="13" t="s">
        <v>25</v>
      </c>
      <c r="C5" s="68">
        <v>13.0</v>
      </c>
      <c r="D5" s="13">
        <v>6.0</v>
      </c>
      <c r="E5" s="41" t="s">
        <v>220</v>
      </c>
      <c r="F5" s="39">
        <v>34.0</v>
      </c>
      <c r="G5" s="13">
        <v>15.0</v>
      </c>
      <c r="H5" s="69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5"/>
      <c r="W5" s="65"/>
      <c r="X5" s="65"/>
      <c r="Y5" s="65"/>
      <c r="Z5" s="65"/>
    </row>
    <row r="6" ht="22.5" customHeight="1">
      <c r="A6" s="13" t="s">
        <v>25</v>
      </c>
      <c r="B6" s="13" t="s">
        <v>25</v>
      </c>
      <c r="C6" s="68">
        <v>13.0</v>
      </c>
      <c r="D6" s="13">
        <v>6.0</v>
      </c>
      <c r="E6" s="41" t="s">
        <v>20</v>
      </c>
      <c r="F6" s="39">
        <v>34.0</v>
      </c>
      <c r="G6" s="13">
        <v>3.0</v>
      </c>
      <c r="H6" s="67">
        <v>2.0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5"/>
      <c r="W6" s="65"/>
      <c r="X6" s="65"/>
      <c r="Y6" s="65"/>
      <c r="Z6" s="65"/>
    </row>
    <row r="7" ht="22.5" customHeight="1">
      <c r="A7" s="38" t="s">
        <v>221</v>
      </c>
      <c r="B7" s="38" t="s">
        <v>25</v>
      </c>
      <c r="C7" s="39">
        <v>6.0</v>
      </c>
      <c r="D7" s="39">
        <v>3.0</v>
      </c>
      <c r="E7" s="70" t="s">
        <v>222</v>
      </c>
      <c r="G7" s="51">
        <v>7.0</v>
      </c>
      <c r="H7" s="66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65"/>
      <c r="Y7" s="65"/>
      <c r="Z7" s="65"/>
    </row>
    <row r="8" ht="22.5" customHeight="1">
      <c r="A8" s="51" t="s">
        <v>223</v>
      </c>
      <c r="B8" s="13" t="s">
        <v>199</v>
      </c>
      <c r="C8" s="57">
        <v>12.0</v>
      </c>
      <c r="D8" s="55">
        <v>4.0</v>
      </c>
      <c r="E8" s="41" t="s">
        <v>218</v>
      </c>
      <c r="F8" s="39">
        <v>105.0</v>
      </c>
      <c r="G8" s="13">
        <v>4.0</v>
      </c>
      <c r="H8" s="66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5"/>
      <c r="X8" s="65"/>
      <c r="Y8" s="65"/>
      <c r="Z8" s="65"/>
    </row>
    <row r="9" ht="22.5" customHeight="1">
      <c r="A9" s="55" t="s">
        <v>223</v>
      </c>
      <c r="B9" s="13" t="s">
        <v>199</v>
      </c>
      <c r="C9" s="57">
        <v>12.0</v>
      </c>
      <c r="D9" s="55">
        <v>4.0</v>
      </c>
      <c r="E9" s="41" t="s">
        <v>219</v>
      </c>
      <c r="F9" s="39">
        <v>105.0</v>
      </c>
      <c r="G9" s="13">
        <v>66.0</v>
      </c>
      <c r="H9" s="67">
        <v>3.0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5"/>
      <c r="X9" s="65"/>
      <c r="Y9" s="65"/>
      <c r="Z9" s="65"/>
    </row>
    <row r="10" ht="22.5" customHeight="1">
      <c r="A10" s="51" t="s">
        <v>223</v>
      </c>
      <c r="B10" s="13" t="s">
        <v>199</v>
      </c>
      <c r="C10" s="57">
        <v>12.0</v>
      </c>
      <c r="D10" s="55">
        <v>4.0</v>
      </c>
      <c r="E10" s="41" t="s">
        <v>18</v>
      </c>
      <c r="F10" s="39">
        <v>105.0</v>
      </c>
      <c r="G10" s="13">
        <v>15.0</v>
      </c>
      <c r="H10" s="67">
        <v>5.0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5"/>
      <c r="X10" s="65"/>
      <c r="Y10" s="65"/>
      <c r="Z10" s="65"/>
    </row>
    <row r="11" ht="22.5" customHeight="1">
      <c r="A11" s="55" t="s">
        <v>223</v>
      </c>
      <c r="B11" s="13" t="s">
        <v>199</v>
      </c>
      <c r="C11" s="68">
        <v>12.0</v>
      </c>
      <c r="D11" s="13">
        <v>4.0</v>
      </c>
      <c r="E11" s="41" t="s">
        <v>220</v>
      </c>
      <c r="F11" s="39">
        <v>105.0</v>
      </c>
      <c r="G11" s="13">
        <v>12.0</v>
      </c>
      <c r="H11" s="66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5"/>
      <c r="X11" s="65"/>
      <c r="Y11" s="65"/>
      <c r="Z11" s="65"/>
    </row>
    <row r="12" ht="22.5" customHeight="1">
      <c r="A12" s="13" t="s">
        <v>223</v>
      </c>
      <c r="B12" s="13" t="s">
        <v>199</v>
      </c>
      <c r="C12" s="68">
        <v>12.0</v>
      </c>
      <c r="D12" s="13">
        <v>4.0</v>
      </c>
      <c r="E12" s="41" t="s">
        <v>20</v>
      </c>
      <c r="F12" s="39">
        <v>105.0</v>
      </c>
      <c r="G12" s="13">
        <v>12.0</v>
      </c>
      <c r="H12" s="67">
        <v>3.0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5"/>
      <c r="X12" s="65"/>
      <c r="Y12" s="65"/>
      <c r="Z12" s="65"/>
    </row>
    <row r="13" ht="22.5" customHeight="1">
      <c r="A13" s="38" t="s">
        <v>223</v>
      </c>
      <c r="B13" s="38" t="s">
        <v>199</v>
      </c>
      <c r="C13" s="39">
        <v>12.0</v>
      </c>
      <c r="D13" s="39">
        <v>4.0</v>
      </c>
      <c r="E13" s="70" t="s">
        <v>222</v>
      </c>
      <c r="F13" s="39">
        <v>105.0</v>
      </c>
      <c r="G13" s="55">
        <v>4.0</v>
      </c>
      <c r="H13" s="66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5"/>
      <c r="X13" s="65"/>
      <c r="Y13" s="65"/>
      <c r="Z13" s="65"/>
    </row>
    <row r="14" ht="22.5" customHeight="1">
      <c r="A14" s="55" t="s">
        <v>224</v>
      </c>
      <c r="B14" s="13" t="s">
        <v>52</v>
      </c>
      <c r="C14" s="53">
        <v>5.0</v>
      </c>
      <c r="D14" s="51">
        <v>3.0</v>
      </c>
      <c r="E14" s="41" t="s">
        <v>218</v>
      </c>
      <c r="F14" s="39">
        <v>26.0</v>
      </c>
      <c r="G14" s="13">
        <v>3.0</v>
      </c>
      <c r="H14" s="66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5"/>
      <c r="X14" s="65"/>
      <c r="Y14" s="65"/>
      <c r="Z14" s="65"/>
    </row>
    <row r="15" ht="22.5" customHeight="1">
      <c r="A15" s="51" t="s">
        <v>224</v>
      </c>
      <c r="B15" s="13" t="s">
        <v>52</v>
      </c>
      <c r="C15" s="53">
        <v>5.0</v>
      </c>
      <c r="D15" s="51">
        <v>3.0</v>
      </c>
      <c r="E15" s="41" t="s">
        <v>219</v>
      </c>
      <c r="F15" s="39">
        <v>26.0</v>
      </c>
      <c r="G15" s="13">
        <v>10.0</v>
      </c>
      <c r="H15" s="67">
        <v>2.0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5"/>
      <c r="X15" s="65"/>
      <c r="Y15" s="65"/>
      <c r="Z15" s="65"/>
    </row>
    <row r="16" ht="22.5" customHeight="1">
      <c r="A16" s="55" t="s">
        <v>224</v>
      </c>
      <c r="B16" s="13" t="s">
        <v>52</v>
      </c>
      <c r="C16" s="53">
        <v>5.0</v>
      </c>
      <c r="D16" s="51">
        <v>3.0</v>
      </c>
      <c r="E16" s="41" t="s">
        <v>18</v>
      </c>
      <c r="F16" s="39">
        <v>26.0</v>
      </c>
      <c r="G16" s="13">
        <v>6.0</v>
      </c>
      <c r="H16" s="67">
        <v>2.0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5"/>
      <c r="X16" s="65"/>
      <c r="Y16" s="65"/>
      <c r="Z16" s="65"/>
    </row>
    <row r="17" ht="22.5" customHeight="1">
      <c r="A17" s="51" t="s">
        <v>224</v>
      </c>
      <c r="B17" s="13" t="s">
        <v>52</v>
      </c>
      <c r="C17" s="68">
        <v>5.0</v>
      </c>
      <c r="D17" s="13">
        <v>3.0</v>
      </c>
      <c r="E17" s="41" t="s">
        <v>220</v>
      </c>
      <c r="F17" s="39">
        <v>26.0</v>
      </c>
      <c r="G17" s="13">
        <v>5.0</v>
      </c>
      <c r="H17" s="66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5"/>
      <c r="X17" s="65"/>
      <c r="Y17" s="65"/>
      <c r="Z17" s="65"/>
    </row>
    <row r="18" ht="22.5" customHeight="1">
      <c r="A18" s="13" t="s">
        <v>224</v>
      </c>
      <c r="B18" s="13" t="s">
        <v>52</v>
      </c>
      <c r="C18" s="68">
        <v>5.0</v>
      </c>
      <c r="D18" s="13">
        <v>3.0</v>
      </c>
      <c r="E18" s="41" t="s">
        <v>20</v>
      </c>
      <c r="F18" s="39">
        <v>26.0</v>
      </c>
      <c r="G18" s="13">
        <v>5.0</v>
      </c>
      <c r="H18" s="67">
        <v>2.0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5"/>
      <c r="X18" s="65"/>
      <c r="Y18" s="65"/>
      <c r="Z18" s="65"/>
    </row>
    <row r="19" ht="22.5" customHeight="1">
      <c r="A19" s="38" t="s">
        <v>206</v>
      </c>
      <c r="B19" s="38" t="s">
        <v>52</v>
      </c>
      <c r="C19" s="39">
        <v>5.0</v>
      </c>
      <c r="D19" s="39">
        <v>3.0</v>
      </c>
      <c r="E19" s="70" t="s">
        <v>222</v>
      </c>
      <c r="F19" s="39">
        <v>26.0</v>
      </c>
      <c r="G19" s="51">
        <v>3.0</v>
      </c>
      <c r="H19" s="66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5"/>
      <c r="X19" s="65"/>
      <c r="Y19" s="65"/>
      <c r="Z19" s="65"/>
    </row>
    <row r="20" ht="22.5" customHeight="1">
      <c r="A20" s="51" t="s">
        <v>225</v>
      </c>
      <c r="B20" s="13" t="s">
        <v>84</v>
      </c>
      <c r="C20" s="57">
        <v>8.0</v>
      </c>
      <c r="D20" s="55">
        <v>5.0</v>
      </c>
      <c r="E20" s="41" t="s">
        <v>218</v>
      </c>
      <c r="F20" s="39">
        <v>56.0</v>
      </c>
      <c r="G20" s="13">
        <v>4.0</v>
      </c>
      <c r="H20" s="66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5"/>
      <c r="X20" s="65"/>
      <c r="Y20" s="65"/>
      <c r="Z20" s="65"/>
    </row>
    <row r="21" ht="22.5" customHeight="1">
      <c r="A21" s="55" t="s">
        <v>225</v>
      </c>
      <c r="B21" s="13" t="s">
        <v>84</v>
      </c>
      <c r="C21" s="57">
        <v>8.0</v>
      </c>
      <c r="D21" s="55">
        <v>5.0</v>
      </c>
      <c r="E21" s="41" t="s">
        <v>219</v>
      </c>
      <c r="F21" s="39">
        <v>56.0</v>
      </c>
      <c r="G21" s="13">
        <v>28.0</v>
      </c>
      <c r="H21" s="67">
        <v>2.0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5"/>
      <c r="X21" s="65"/>
      <c r="Y21" s="65"/>
      <c r="Z21" s="65"/>
    </row>
    <row r="22" ht="22.5" customHeight="1">
      <c r="A22" s="51" t="s">
        <v>225</v>
      </c>
      <c r="B22" s="13" t="s">
        <v>84</v>
      </c>
      <c r="C22" s="57">
        <v>8.0</v>
      </c>
      <c r="D22" s="55">
        <v>5.0</v>
      </c>
      <c r="E22" s="41" t="s">
        <v>18</v>
      </c>
      <c r="F22" s="39">
        <v>56.0</v>
      </c>
      <c r="G22" s="13">
        <v>12.0</v>
      </c>
      <c r="H22" s="67">
        <v>2.0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5"/>
      <c r="Y22" s="65"/>
      <c r="Z22" s="65"/>
    </row>
    <row r="23" ht="22.5" customHeight="1">
      <c r="A23" s="55" t="s">
        <v>225</v>
      </c>
      <c r="B23" s="13" t="s">
        <v>84</v>
      </c>
      <c r="C23" s="68">
        <v>8.0</v>
      </c>
      <c r="D23" s="13">
        <v>5.0</v>
      </c>
      <c r="E23" s="41" t="s">
        <v>220</v>
      </c>
      <c r="F23" s="39">
        <v>56.0</v>
      </c>
      <c r="G23" s="13">
        <v>8.0</v>
      </c>
      <c r="H23" s="66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5"/>
      <c r="X23" s="65"/>
      <c r="Y23" s="65"/>
      <c r="Z23" s="65"/>
    </row>
    <row r="24" ht="22.5" customHeight="1">
      <c r="A24" s="13" t="s">
        <v>225</v>
      </c>
      <c r="B24" s="13" t="s">
        <v>84</v>
      </c>
      <c r="C24" s="68">
        <v>8.0</v>
      </c>
      <c r="D24" s="13">
        <v>5.0</v>
      </c>
      <c r="E24" s="41" t="s">
        <v>20</v>
      </c>
      <c r="F24" s="39">
        <v>56.0</v>
      </c>
      <c r="G24" s="13">
        <v>8.0</v>
      </c>
      <c r="H24" s="67">
        <v>1.0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5"/>
      <c r="X24" s="65"/>
      <c r="Y24" s="65"/>
      <c r="Z24" s="65"/>
    </row>
    <row r="25" ht="22.5" customHeight="1">
      <c r="A25" s="38" t="s">
        <v>225</v>
      </c>
      <c r="B25" s="38" t="s">
        <v>84</v>
      </c>
      <c r="C25" s="39">
        <v>8.0</v>
      </c>
      <c r="D25" s="39">
        <v>5.0</v>
      </c>
      <c r="E25" s="70" t="s">
        <v>222</v>
      </c>
      <c r="F25" s="39">
        <v>56.0</v>
      </c>
      <c r="G25" s="55">
        <v>4.0</v>
      </c>
      <c r="H25" s="66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5"/>
      <c r="X25" s="65"/>
      <c r="Y25" s="65"/>
      <c r="Z25" s="65"/>
    </row>
    <row r="26" ht="22.5" customHeight="1">
      <c r="A26" s="55" t="s">
        <v>226</v>
      </c>
      <c r="B26" s="71" t="s">
        <v>102</v>
      </c>
      <c r="C26" s="53">
        <v>4.0</v>
      </c>
      <c r="D26" s="51">
        <v>4.0</v>
      </c>
      <c r="E26" s="41" t="s">
        <v>218</v>
      </c>
      <c r="F26" s="39">
        <v>26.0</v>
      </c>
      <c r="G26" s="13">
        <v>6.0</v>
      </c>
      <c r="H26" s="66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5"/>
      <c r="X26" s="65"/>
      <c r="Y26" s="65"/>
      <c r="Z26" s="65"/>
    </row>
    <row r="27" ht="22.5" customHeight="1">
      <c r="A27" s="51" t="s">
        <v>226</v>
      </c>
      <c r="B27" s="71" t="s">
        <v>102</v>
      </c>
      <c r="C27" s="53">
        <v>4.0</v>
      </c>
      <c r="D27" s="51">
        <v>4.0</v>
      </c>
      <c r="E27" s="41" t="s">
        <v>219</v>
      </c>
      <c r="F27" s="39">
        <v>26.0</v>
      </c>
      <c r="G27" s="13">
        <v>6.0</v>
      </c>
      <c r="H27" s="67">
        <v>2.0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22.5" customHeight="1">
      <c r="A28" s="55" t="s">
        <v>226</v>
      </c>
      <c r="B28" s="71" t="s">
        <v>102</v>
      </c>
      <c r="C28" s="53">
        <v>4.0</v>
      </c>
      <c r="D28" s="51">
        <v>4.0</v>
      </c>
      <c r="E28" s="41" t="s">
        <v>18</v>
      </c>
      <c r="F28" s="39">
        <v>26.0</v>
      </c>
      <c r="G28" s="13">
        <v>5.0</v>
      </c>
      <c r="H28" s="67">
        <v>3.0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22.5" customHeight="1">
      <c r="A29" s="51" t="s">
        <v>226</v>
      </c>
      <c r="B29" s="71" t="s">
        <v>102</v>
      </c>
      <c r="C29" s="68">
        <v>4.0</v>
      </c>
      <c r="D29" s="13">
        <v>4.0</v>
      </c>
      <c r="E29" s="41" t="s">
        <v>220</v>
      </c>
      <c r="F29" s="39">
        <v>26.0</v>
      </c>
      <c r="G29" s="13">
        <v>4.0</v>
      </c>
      <c r="H29" s="66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22.5" customHeight="1">
      <c r="A30" s="13" t="s">
        <v>226</v>
      </c>
      <c r="B30" s="71" t="s">
        <v>102</v>
      </c>
      <c r="C30" s="68">
        <v>4.0</v>
      </c>
      <c r="D30" s="13">
        <v>4.0</v>
      </c>
      <c r="E30" s="41" t="s">
        <v>20</v>
      </c>
      <c r="F30" s="39">
        <v>26.0</v>
      </c>
      <c r="G30" s="13">
        <v>4.0</v>
      </c>
      <c r="H30" s="67">
        <v>2.0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22.5" customHeight="1">
      <c r="A31" s="38" t="s">
        <v>210</v>
      </c>
      <c r="B31" s="38" t="s">
        <v>102</v>
      </c>
      <c r="C31" s="39">
        <v>4.0</v>
      </c>
      <c r="D31" s="39">
        <v>4.0</v>
      </c>
      <c r="E31" s="70" t="s">
        <v>222</v>
      </c>
      <c r="F31" s="39">
        <v>26.0</v>
      </c>
      <c r="G31" s="51">
        <v>12.0</v>
      </c>
      <c r="H31" s="66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72"/>
      <c r="B37" s="72"/>
      <c r="C37" s="72"/>
      <c r="D37" s="72"/>
      <c r="E37" s="72"/>
      <c r="F37" s="64"/>
      <c r="G37" s="72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5"/>
      <c r="Z37" s="65"/>
    </row>
    <row r="38">
      <c r="A38" s="72"/>
      <c r="B38" s="72"/>
      <c r="C38" s="72"/>
      <c r="D38" s="72"/>
      <c r="E38" s="72"/>
      <c r="F38" s="64"/>
      <c r="G38" s="72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5"/>
      <c r="Z38" s="65"/>
    </row>
    <row r="39">
      <c r="A39" s="72"/>
      <c r="B39" s="72"/>
      <c r="C39" s="72"/>
      <c r="D39" s="72"/>
      <c r="E39" s="72"/>
      <c r="F39" s="64"/>
      <c r="G39" s="72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5"/>
      <c r="Z39" s="65"/>
    </row>
    <row r="40">
      <c r="A40" s="72"/>
      <c r="B40" s="72"/>
      <c r="C40" s="72"/>
      <c r="D40" s="72"/>
      <c r="E40" s="72"/>
      <c r="F40" s="64"/>
      <c r="G40" s="72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5"/>
      <c r="Z40" s="65"/>
    </row>
    <row r="41">
      <c r="A41" s="72"/>
      <c r="B41" s="72"/>
      <c r="C41" s="72"/>
      <c r="D41" s="72"/>
      <c r="E41" s="72"/>
      <c r="F41" s="64"/>
      <c r="G41" s="72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5"/>
      <c r="Z41" s="65"/>
    </row>
    <row r="42">
      <c r="A42" s="72"/>
      <c r="B42" s="72"/>
      <c r="C42" s="72"/>
      <c r="D42" s="72"/>
      <c r="E42" s="72"/>
      <c r="F42" s="64"/>
      <c r="G42" s="72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5"/>
      <c r="Z42" s="65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72"/>
      <c r="B59" s="72"/>
      <c r="C59" s="72"/>
      <c r="D59" s="72"/>
      <c r="E59" s="72"/>
      <c r="F59" s="63"/>
      <c r="G59" s="72"/>
      <c r="H59" s="63"/>
      <c r="I59" s="72"/>
      <c r="J59" s="72"/>
      <c r="K59" s="72"/>
      <c r="L59" s="72"/>
      <c r="M59" s="72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72"/>
      <c r="B60" s="72"/>
      <c r="C60" s="72"/>
      <c r="D60" s="72"/>
      <c r="E60" s="72"/>
      <c r="F60" s="63"/>
      <c r="G60" s="72"/>
      <c r="H60" s="63"/>
      <c r="I60" s="72"/>
      <c r="J60" s="72"/>
      <c r="K60" s="72"/>
      <c r="L60" s="72"/>
      <c r="M60" s="72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72"/>
      <c r="B61" s="72"/>
      <c r="C61" s="72"/>
      <c r="D61" s="72"/>
      <c r="E61" s="72"/>
      <c r="F61" s="63"/>
      <c r="G61" s="72"/>
      <c r="H61" s="63"/>
      <c r="I61" s="72"/>
      <c r="J61" s="72"/>
      <c r="K61" s="72"/>
      <c r="L61" s="72"/>
      <c r="M61" s="72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72"/>
      <c r="B62" s="72"/>
      <c r="C62" s="72"/>
      <c r="D62" s="72"/>
      <c r="E62" s="72"/>
      <c r="F62" s="63"/>
      <c r="G62" s="72"/>
      <c r="H62" s="63"/>
      <c r="I62" s="72"/>
      <c r="J62" s="72"/>
      <c r="K62" s="72"/>
      <c r="L62" s="72"/>
      <c r="M62" s="72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72"/>
      <c r="B63" s="72"/>
      <c r="C63" s="72"/>
      <c r="D63" s="72"/>
      <c r="E63" s="72"/>
      <c r="F63" s="63"/>
      <c r="G63" s="72"/>
      <c r="H63" s="63"/>
      <c r="I63" s="72"/>
      <c r="J63" s="72"/>
      <c r="K63" s="72"/>
      <c r="L63" s="72"/>
      <c r="M63" s="72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72"/>
      <c r="B64" s="72"/>
      <c r="C64" s="72"/>
      <c r="D64" s="72"/>
      <c r="E64" s="72"/>
      <c r="F64" s="63"/>
      <c r="G64" s="72"/>
      <c r="H64" s="63"/>
      <c r="I64" s="72"/>
      <c r="J64" s="72"/>
      <c r="K64" s="72"/>
      <c r="L64" s="72"/>
      <c r="M64" s="72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72"/>
      <c r="B65" s="72"/>
      <c r="C65" s="72"/>
      <c r="D65" s="72"/>
      <c r="E65" s="72"/>
      <c r="F65" s="63"/>
      <c r="G65" s="72"/>
      <c r="H65" s="63"/>
      <c r="I65" s="72"/>
      <c r="J65" s="72"/>
      <c r="K65" s="72"/>
      <c r="L65" s="72"/>
      <c r="M65" s="72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72"/>
      <c r="B66" s="72"/>
      <c r="C66" s="72"/>
      <c r="D66" s="72"/>
      <c r="E66" s="72"/>
      <c r="F66" s="63"/>
      <c r="G66" s="72"/>
      <c r="H66" s="63"/>
      <c r="I66" s="72"/>
      <c r="J66" s="72"/>
      <c r="K66" s="72"/>
      <c r="L66" s="72"/>
      <c r="M66" s="72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72"/>
      <c r="B67" s="72"/>
      <c r="C67" s="72"/>
      <c r="D67" s="72"/>
      <c r="E67" s="72"/>
      <c r="F67" s="63"/>
      <c r="G67" s="72"/>
      <c r="H67" s="63"/>
      <c r="I67" s="72"/>
      <c r="J67" s="72"/>
      <c r="K67" s="72"/>
      <c r="L67" s="72"/>
      <c r="M67" s="72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72"/>
      <c r="B68" s="72"/>
      <c r="C68" s="72"/>
      <c r="D68" s="72"/>
      <c r="E68" s="72"/>
      <c r="F68" s="63"/>
      <c r="G68" s="72"/>
      <c r="H68" s="63"/>
      <c r="I68" s="72"/>
      <c r="J68" s="72"/>
      <c r="K68" s="72"/>
      <c r="L68" s="72"/>
      <c r="M68" s="72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72"/>
      <c r="B69" s="72"/>
      <c r="C69" s="72"/>
      <c r="D69" s="72"/>
      <c r="E69" s="72"/>
      <c r="F69" s="63"/>
      <c r="G69" s="72"/>
      <c r="H69" s="63"/>
      <c r="I69" s="72"/>
      <c r="J69" s="72"/>
      <c r="K69" s="72"/>
      <c r="L69" s="72"/>
      <c r="M69" s="72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73"/>
      <c r="B73" s="73"/>
      <c r="C73" s="73"/>
      <c r="D73" s="73"/>
      <c r="E73" s="73"/>
      <c r="F73" s="73"/>
      <c r="G73" s="73"/>
      <c r="H73" s="73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</row>
    <row r="1009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</row>
    <row r="1010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</row>
    <row r="1011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</row>
    <row r="1012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</row>
    <row r="1013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</row>
    <row r="1014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</row>
    <row r="1015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</row>
    <row r="1016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</row>
    <row r="1017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</row>
    <row r="1018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</row>
  </sheetData>
  <dataValidations>
    <dataValidation type="list" allowBlank="1" sqref="E2:E31">
      <formula1>"SMGF,MMGF,RGF,PMGF,MGFs"</formula1>
    </dataValidation>
    <dataValidation type="custom" allowBlank="1" showDropDown="1" sqref="C2:C3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25"/>
    <col customWidth="1" min="2" max="2" width="21.38"/>
    <col customWidth="1" min="3" max="3" width="10.5"/>
    <col customWidth="1" min="4" max="4" width="9.38"/>
    <col customWidth="1" min="5" max="5" width="17.25"/>
    <col customWidth="1" min="6" max="6" width="10.63"/>
    <col customWidth="1" min="7" max="7" width="11.88"/>
    <col customWidth="1" min="8" max="8" width="9.63"/>
    <col customWidth="1" min="9" max="9" width="10.75"/>
    <col customWidth="1" min="10" max="10" width="10.38"/>
    <col customWidth="1" min="11" max="11" width="14.88"/>
    <col customWidth="1" min="12" max="12" width="17.5"/>
    <col customWidth="1" min="13" max="13" width="14.0"/>
    <col customWidth="1" min="14" max="14" width="16.5"/>
    <col customWidth="1" min="15" max="15" width="12.38"/>
    <col customWidth="1" min="16" max="16" width="11.25"/>
    <col customWidth="1" min="17" max="17" width="17.13"/>
    <col customWidth="1" min="18" max="18" width="20.13"/>
    <col customWidth="1" min="19" max="19" width="12.38"/>
    <col customWidth="1" min="20" max="20" width="15.13"/>
    <col customWidth="1" min="21" max="21" width="23.38"/>
    <col customWidth="1" min="22" max="22" width="12.25"/>
  </cols>
  <sheetData>
    <row r="1" ht="22.5" customHeight="1">
      <c r="A1" s="74" t="s">
        <v>1</v>
      </c>
      <c r="B1" s="74" t="s">
        <v>2</v>
      </c>
      <c r="C1" s="74" t="s">
        <v>227</v>
      </c>
      <c r="D1" s="74" t="s">
        <v>228</v>
      </c>
      <c r="E1" s="62" t="s">
        <v>193</v>
      </c>
      <c r="F1" s="74" t="s">
        <v>229</v>
      </c>
      <c r="G1" s="74" t="s">
        <v>230</v>
      </c>
      <c r="H1" s="62" t="s">
        <v>9</v>
      </c>
      <c r="I1" s="74" t="s">
        <v>231</v>
      </c>
      <c r="J1" s="74" t="s">
        <v>232</v>
      </c>
      <c r="K1" s="62" t="s">
        <v>12</v>
      </c>
      <c r="L1" s="74" t="s">
        <v>233</v>
      </c>
      <c r="M1" s="74" t="s">
        <v>234</v>
      </c>
      <c r="N1" s="36"/>
      <c r="O1" s="36"/>
      <c r="P1" s="36"/>
      <c r="Q1" s="36"/>
      <c r="R1" s="36"/>
      <c r="S1" s="36"/>
      <c r="T1" s="36"/>
      <c r="U1" s="36"/>
      <c r="V1" s="36"/>
      <c r="W1" s="64"/>
      <c r="X1" s="64"/>
      <c r="Y1" s="64"/>
      <c r="Z1" s="64"/>
    </row>
    <row r="2" ht="22.5" customHeight="1">
      <c r="A2" s="51" t="s">
        <v>235</v>
      </c>
      <c r="B2" s="5" t="s">
        <v>25</v>
      </c>
      <c r="C2" s="53">
        <v>3.0</v>
      </c>
      <c r="D2" s="53">
        <v>6.0</v>
      </c>
      <c r="E2" s="70" t="s">
        <v>236</v>
      </c>
      <c r="F2" s="53">
        <v>34.0</v>
      </c>
      <c r="G2" s="53">
        <v>25.0</v>
      </c>
      <c r="H2" s="75">
        <f t="shared" ref="H2:H13" si="1">G2/F2</f>
        <v>0.7352941176</v>
      </c>
      <c r="I2" s="53">
        <v>1.0</v>
      </c>
      <c r="J2" s="53">
        <v>0.01</v>
      </c>
      <c r="K2" s="76">
        <v>1.0</v>
      </c>
      <c r="L2" s="77">
        <v>7.0</v>
      </c>
      <c r="M2" s="77">
        <v>0.1</v>
      </c>
      <c r="N2" s="36"/>
      <c r="O2" s="36"/>
      <c r="P2" s="36"/>
      <c r="Q2" s="36"/>
      <c r="R2" s="36"/>
      <c r="S2" s="36"/>
      <c r="T2" s="36"/>
      <c r="U2" s="36"/>
      <c r="V2" s="36"/>
      <c r="W2" s="64"/>
      <c r="X2" s="64"/>
      <c r="Y2" s="64"/>
      <c r="Z2" s="64"/>
    </row>
    <row r="3" ht="22.5" customHeight="1">
      <c r="A3" s="51" t="s">
        <v>44</v>
      </c>
      <c r="B3" s="57" t="s">
        <v>44</v>
      </c>
      <c r="C3" s="53">
        <v>6.0</v>
      </c>
      <c r="D3" s="53">
        <v>5.0</v>
      </c>
      <c r="E3" s="70" t="s">
        <v>236</v>
      </c>
      <c r="F3" s="53">
        <v>30.0</v>
      </c>
      <c r="G3" s="53">
        <v>19.0</v>
      </c>
      <c r="H3" s="75">
        <f t="shared" si="1"/>
        <v>0.6333333333</v>
      </c>
      <c r="I3" s="53">
        <v>1.0</v>
      </c>
      <c r="J3" s="53">
        <v>0.02</v>
      </c>
      <c r="K3" s="76">
        <v>1.0</v>
      </c>
      <c r="L3" s="77">
        <v>4.0</v>
      </c>
      <c r="M3" s="77">
        <v>0.1</v>
      </c>
      <c r="N3" s="36"/>
      <c r="O3" s="36"/>
      <c r="P3" s="36"/>
      <c r="Q3" s="36"/>
      <c r="R3" s="36"/>
      <c r="S3" s="36"/>
      <c r="T3" s="36"/>
      <c r="U3" s="36"/>
      <c r="V3" s="36"/>
      <c r="W3" s="64"/>
      <c r="X3" s="64"/>
      <c r="Y3" s="64"/>
      <c r="Z3" s="64"/>
    </row>
    <row r="4" ht="22.5" customHeight="1">
      <c r="A4" s="51" t="s">
        <v>206</v>
      </c>
      <c r="B4" s="57" t="s">
        <v>52</v>
      </c>
      <c r="C4" s="53">
        <v>3.0</v>
      </c>
      <c r="D4" s="53">
        <v>5.0</v>
      </c>
      <c r="E4" s="70" t="s">
        <v>236</v>
      </c>
      <c r="F4" s="53">
        <v>26.0</v>
      </c>
      <c r="G4" s="53">
        <v>23.0</v>
      </c>
      <c r="H4" s="75">
        <f t="shared" si="1"/>
        <v>0.8846153846</v>
      </c>
      <c r="I4" s="53">
        <v>1.0</v>
      </c>
      <c r="J4" s="53">
        <v>0.15</v>
      </c>
      <c r="K4" s="76">
        <v>1.0</v>
      </c>
      <c r="L4" s="77">
        <v>6.0</v>
      </c>
      <c r="M4" s="77">
        <v>0.11</v>
      </c>
      <c r="N4" s="36"/>
      <c r="O4" s="36"/>
      <c r="P4" s="36"/>
      <c r="Q4" s="36"/>
      <c r="R4" s="36"/>
      <c r="S4" s="36"/>
      <c r="T4" s="36"/>
      <c r="U4" s="36"/>
      <c r="V4" s="36"/>
      <c r="W4" s="64"/>
      <c r="X4" s="64"/>
      <c r="Y4" s="64"/>
      <c r="Z4" s="64"/>
    </row>
    <row r="5" ht="22.5" customHeight="1">
      <c r="A5" s="55" t="s">
        <v>208</v>
      </c>
      <c r="B5" s="57" t="s">
        <v>54</v>
      </c>
      <c r="C5" s="57">
        <v>7.0</v>
      </c>
      <c r="D5" s="57">
        <v>24.0</v>
      </c>
      <c r="E5" s="70" t="s">
        <v>236</v>
      </c>
      <c r="F5" s="57">
        <v>304.0</v>
      </c>
      <c r="G5" s="57">
        <v>267.0</v>
      </c>
      <c r="H5" s="75">
        <f t="shared" si="1"/>
        <v>0.8782894737</v>
      </c>
      <c r="I5" s="57">
        <v>1.0</v>
      </c>
      <c r="J5" s="57">
        <v>0.22</v>
      </c>
      <c r="K5" s="76">
        <v>1.0</v>
      </c>
      <c r="L5" s="78">
        <v>14.0</v>
      </c>
      <c r="M5" s="78">
        <v>0.97</v>
      </c>
      <c r="N5" s="36"/>
      <c r="O5" s="36"/>
      <c r="P5" s="36"/>
      <c r="Q5" s="36"/>
      <c r="R5" s="36"/>
      <c r="S5" s="36"/>
      <c r="T5" s="36"/>
      <c r="U5" s="36"/>
      <c r="V5" s="36"/>
      <c r="W5" s="64"/>
      <c r="X5" s="64"/>
      <c r="Y5" s="64"/>
      <c r="Z5" s="64"/>
    </row>
    <row r="6" ht="22.5" customHeight="1">
      <c r="A6" s="55" t="s">
        <v>237</v>
      </c>
      <c r="B6" s="57" t="s">
        <v>63</v>
      </c>
      <c r="C6" s="57">
        <v>28.0</v>
      </c>
      <c r="D6" s="57">
        <v>88.0</v>
      </c>
      <c r="E6" s="70" t="s">
        <v>236</v>
      </c>
      <c r="F6" s="57">
        <v>4135.0</v>
      </c>
      <c r="G6" s="57">
        <v>3217.0</v>
      </c>
      <c r="H6" s="75">
        <f t="shared" si="1"/>
        <v>0.7779927449</v>
      </c>
      <c r="I6" s="57">
        <v>1.0</v>
      </c>
      <c r="J6" s="57">
        <v>2.87</v>
      </c>
      <c r="K6" s="76">
        <v>1.0</v>
      </c>
      <c r="L6" s="78">
        <v>19.0</v>
      </c>
      <c r="M6" s="78">
        <v>23.5</v>
      </c>
      <c r="N6" s="36"/>
      <c r="O6" s="36"/>
      <c r="P6" s="36"/>
      <c r="Q6" s="36"/>
      <c r="R6" s="36"/>
      <c r="S6" s="36"/>
      <c r="T6" s="36"/>
      <c r="U6" s="36"/>
      <c r="V6" s="36"/>
      <c r="W6" s="64"/>
      <c r="X6" s="64"/>
      <c r="Y6" s="64"/>
      <c r="Z6" s="64"/>
    </row>
    <row r="7" ht="22.5" customHeight="1">
      <c r="A7" s="51" t="s">
        <v>238</v>
      </c>
      <c r="B7" s="57" t="s">
        <v>70</v>
      </c>
      <c r="C7" s="53">
        <v>5.0</v>
      </c>
      <c r="D7" s="53">
        <v>24.0</v>
      </c>
      <c r="E7" s="70" t="s">
        <v>236</v>
      </c>
      <c r="F7" s="53">
        <v>344.0</v>
      </c>
      <c r="G7" s="53">
        <v>313.0</v>
      </c>
      <c r="H7" s="75">
        <f t="shared" si="1"/>
        <v>0.9098837209</v>
      </c>
      <c r="I7" s="53">
        <v>1.0</v>
      </c>
      <c r="J7" s="53">
        <v>0.23</v>
      </c>
      <c r="K7" s="76">
        <v>1.0</v>
      </c>
      <c r="L7" s="77">
        <v>8.0</v>
      </c>
      <c r="M7" s="77">
        <v>0.69</v>
      </c>
      <c r="N7" s="36"/>
      <c r="O7" s="36"/>
      <c r="P7" s="36"/>
      <c r="Q7" s="36"/>
      <c r="R7" s="36"/>
      <c r="S7" s="36"/>
      <c r="T7" s="36"/>
      <c r="U7" s="36"/>
      <c r="V7" s="36"/>
      <c r="W7" s="64"/>
      <c r="X7" s="64"/>
      <c r="Y7" s="64"/>
      <c r="Z7" s="64"/>
    </row>
    <row r="8" ht="22.5" customHeight="1">
      <c r="A8" s="55" t="s">
        <v>239</v>
      </c>
      <c r="B8" s="57" t="s">
        <v>80</v>
      </c>
      <c r="C8" s="57">
        <v>6.0</v>
      </c>
      <c r="D8" s="57">
        <v>21.0</v>
      </c>
      <c r="E8" s="70" t="s">
        <v>236</v>
      </c>
      <c r="F8" s="57">
        <v>185.0</v>
      </c>
      <c r="G8" s="57">
        <v>143.0</v>
      </c>
      <c r="H8" s="75">
        <f t="shared" si="1"/>
        <v>0.772972973</v>
      </c>
      <c r="I8" s="57">
        <v>1.0</v>
      </c>
      <c r="J8" s="57">
        <v>0.14</v>
      </c>
      <c r="K8" s="76">
        <v>1.0</v>
      </c>
      <c r="L8" s="78">
        <v>16.0</v>
      </c>
      <c r="M8" s="78">
        <v>3.91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22.5" customHeight="1">
      <c r="A9" s="51" t="s">
        <v>225</v>
      </c>
      <c r="B9" s="57" t="s">
        <v>84</v>
      </c>
      <c r="C9" s="53">
        <v>5.0</v>
      </c>
      <c r="D9" s="53">
        <v>8.0</v>
      </c>
      <c r="E9" s="70" t="s">
        <v>236</v>
      </c>
      <c r="F9" s="53">
        <v>60.0</v>
      </c>
      <c r="G9" s="53">
        <v>47.0</v>
      </c>
      <c r="H9" s="75">
        <f t="shared" si="1"/>
        <v>0.7833333333</v>
      </c>
      <c r="I9" s="53">
        <v>1.0</v>
      </c>
      <c r="J9" s="53">
        <v>0.23</v>
      </c>
      <c r="K9" s="76">
        <v>1.0</v>
      </c>
      <c r="L9" s="77">
        <v>5.0</v>
      </c>
      <c r="M9" s="77">
        <v>0.17</v>
      </c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22.5" customHeight="1">
      <c r="A10" s="55" t="s">
        <v>84</v>
      </c>
      <c r="B10" s="57" t="s">
        <v>84</v>
      </c>
      <c r="C10" s="57">
        <v>5.0</v>
      </c>
      <c r="D10" s="57">
        <v>7.0</v>
      </c>
      <c r="E10" s="70" t="s">
        <v>236</v>
      </c>
      <c r="F10" s="57">
        <v>56.0</v>
      </c>
      <c r="G10" s="57">
        <v>29.0</v>
      </c>
      <c r="H10" s="75">
        <f t="shared" si="1"/>
        <v>0.5178571429</v>
      </c>
      <c r="I10" s="57">
        <v>1.0</v>
      </c>
      <c r="J10" s="57">
        <v>0.08</v>
      </c>
      <c r="K10" s="76"/>
      <c r="L10" s="57"/>
      <c r="M10" s="57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22.5" customHeight="1">
      <c r="A11" s="51" t="s">
        <v>210</v>
      </c>
      <c r="B11" s="57" t="s">
        <v>102</v>
      </c>
      <c r="C11" s="53">
        <v>4.0</v>
      </c>
      <c r="D11" s="53">
        <v>4.0</v>
      </c>
      <c r="E11" s="70" t="s">
        <v>236</v>
      </c>
      <c r="F11" s="53">
        <v>19.0</v>
      </c>
      <c r="G11" s="53">
        <v>17.0</v>
      </c>
      <c r="H11" s="75">
        <f t="shared" si="1"/>
        <v>0.8947368421</v>
      </c>
      <c r="I11" s="53">
        <v>1.0</v>
      </c>
      <c r="J11" s="53">
        <v>0.01</v>
      </c>
      <c r="K11" s="76">
        <v>1.0</v>
      </c>
      <c r="L11" s="77">
        <v>7.0</v>
      </c>
      <c r="M11" s="77">
        <v>0.09</v>
      </c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22.5" customHeight="1">
      <c r="A12" s="55" t="s">
        <v>102</v>
      </c>
      <c r="B12" s="57" t="s">
        <v>102</v>
      </c>
      <c r="C12" s="57">
        <v>4.0</v>
      </c>
      <c r="D12" s="57">
        <v>4.0</v>
      </c>
      <c r="E12" s="70" t="s">
        <v>236</v>
      </c>
      <c r="F12" s="57">
        <v>18.0</v>
      </c>
      <c r="G12" s="57">
        <v>15.0</v>
      </c>
      <c r="H12" s="75">
        <f t="shared" si="1"/>
        <v>0.8333333333</v>
      </c>
      <c r="I12" s="57">
        <v>1.0</v>
      </c>
      <c r="J12" s="57">
        <v>0.21</v>
      </c>
      <c r="K12" s="79"/>
      <c r="L12" s="57"/>
      <c r="M12" s="57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22.5" customHeight="1">
      <c r="A13" s="55" t="s">
        <v>240</v>
      </c>
      <c r="B13" s="57" t="s">
        <v>107</v>
      </c>
      <c r="C13" s="57">
        <v>15.0</v>
      </c>
      <c r="D13" s="57">
        <v>28.0</v>
      </c>
      <c r="E13" s="70" t="s">
        <v>236</v>
      </c>
      <c r="F13" s="57">
        <v>598.0</v>
      </c>
      <c r="G13" s="57">
        <v>345.0</v>
      </c>
      <c r="H13" s="75">
        <f t="shared" si="1"/>
        <v>0.5769230769</v>
      </c>
      <c r="I13" s="57">
        <v>1.0</v>
      </c>
      <c r="J13" s="57">
        <v>5.13</v>
      </c>
      <c r="K13" s="76">
        <v>1.0</v>
      </c>
      <c r="L13" s="78">
        <v>14.0</v>
      </c>
      <c r="M13" s="78">
        <v>0.53</v>
      </c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36"/>
      <c r="B29" s="64"/>
      <c r="C29" s="36"/>
      <c r="D29" s="36"/>
      <c r="E29" s="64"/>
      <c r="F29" s="36"/>
      <c r="G29" s="36"/>
      <c r="H29" s="64"/>
      <c r="I29" s="36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4"/>
      <c r="Z29" s="4"/>
    </row>
    <row r="30">
      <c r="A30" s="36"/>
      <c r="B30" s="64"/>
      <c r="C30" s="36"/>
      <c r="D30" s="36"/>
      <c r="E30" s="64"/>
      <c r="F30" s="36"/>
      <c r="G30" s="36"/>
      <c r="H30" s="64"/>
      <c r="I30" s="36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4"/>
      <c r="Z30" s="4"/>
    </row>
    <row r="31">
      <c r="A31" s="36"/>
      <c r="B31" s="64"/>
      <c r="C31" s="36"/>
      <c r="D31" s="36"/>
      <c r="E31" s="64"/>
      <c r="F31" s="36"/>
      <c r="G31" s="36"/>
      <c r="H31" s="64"/>
      <c r="I31" s="36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4"/>
      <c r="Z31" s="4"/>
    </row>
    <row r="32">
      <c r="A32" s="36"/>
      <c r="B32" s="64"/>
      <c r="C32" s="36"/>
      <c r="D32" s="36"/>
      <c r="E32" s="64"/>
      <c r="F32" s="36"/>
      <c r="G32" s="36"/>
      <c r="H32" s="64"/>
      <c r="I32" s="36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4"/>
      <c r="Z32" s="4"/>
    </row>
    <row r="33">
      <c r="A33" s="36"/>
      <c r="B33" s="64"/>
      <c r="C33" s="36"/>
      <c r="D33" s="36"/>
      <c r="E33" s="64"/>
      <c r="F33" s="36"/>
      <c r="G33" s="36"/>
      <c r="H33" s="64"/>
      <c r="I33" s="36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4"/>
      <c r="Z33" s="4"/>
    </row>
    <row r="34">
      <c r="A34" s="36"/>
      <c r="B34" s="64"/>
      <c r="C34" s="36"/>
      <c r="D34" s="36"/>
      <c r="E34" s="64"/>
      <c r="F34" s="36"/>
      <c r="G34" s="36"/>
      <c r="H34" s="64"/>
      <c r="I34" s="3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4"/>
      <c r="Z34" s="4"/>
    </row>
    <row r="35">
      <c r="A35" s="36"/>
      <c r="B35" s="64"/>
      <c r="C35" s="36"/>
      <c r="D35" s="36"/>
      <c r="E35" s="64"/>
      <c r="F35" s="36"/>
      <c r="G35" s="36"/>
      <c r="H35" s="64"/>
      <c r="I35" s="36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4"/>
      <c r="Z35" s="4"/>
    </row>
    <row r="36">
      <c r="A36" s="36"/>
      <c r="B36" s="64"/>
      <c r="C36" s="36"/>
      <c r="D36" s="36"/>
      <c r="E36" s="64"/>
      <c r="F36" s="36"/>
      <c r="G36" s="36"/>
      <c r="H36" s="64"/>
      <c r="I36" s="36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4"/>
      <c r="Z36" s="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36"/>
      <c r="B41" s="36"/>
      <c r="C41" s="36"/>
      <c r="D41" s="36"/>
      <c r="E41" s="64"/>
      <c r="F41" s="36"/>
      <c r="G41" s="36"/>
      <c r="H41" s="64"/>
      <c r="I41" s="36"/>
      <c r="J41" s="36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36"/>
      <c r="B42" s="36"/>
      <c r="C42" s="36"/>
      <c r="D42" s="36"/>
      <c r="E42" s="64"/>
      <c r="F42" s="36"/>
      <c r="G42" s="36"/>
      <c r="H42" s="64"/>
      <c r="I42" s="36"/>
      <c r="J42" s="36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36"/>
      <c r="B43" s="36"/>
      <c r="C43" s="36"/>
      <c r="D43" s="36"/>
      <c r="E43" s="64"/>
      <c r="F43" s="36"/>
      <c r="G43" s="36"/>
      <c r="H43" s="64"/>
      <c r="I43" s="36"/>
      <c r="J43" s="36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64"/>
      <c r="W50" s="64"/>
      <c r="X50" s="64"/>
      <c r="Y50" s="64"/>
      <c r="Z50" s="64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64"/>
      <c r="W51" s="64"/>
      <c r="X51" s="64"/>
      <c r="Y51" s="64"/>
      <c r="Z51" s="64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64"/>
      <c r="W52" s="64"/>
      <c r="X52" s="64"/>
      <c r="Y52" s="64"/>
      <c r="Z52" s="64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64"/>
      <c r="W53" s="64"/>
      <c r="X53" s="64"/>
      <c r="Y53" s="64"/>
      <c r="Z53" s="64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64"/>
      <c r="W54" s="64"/>
      <c r="X54" s="64"/>
      <c r="Y54" s="64"/>
      <c r="Z54" s="64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64"/>
      <c r="W55" s="64"/>
      <c r="X55" s="64"/>
      <c r="Y55" s="64"/>
      <c r="Z55" s="64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64"/>
      <c r="W56" s="64"/>
      <c r="X56" s="64"/>
      <c r="Y56" s="64"/>
      <c r="Z56" s="64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64"/>
      <c r="W57" s="64"/>
      <c r="X57" s="64"/>
      <c r="Y57" s="64"/>
      <c r="Z57" s="64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64"/>
      <c r="W58" s="64"/>
      <c r="X58" s="64"/>
      <c r="Y58" s="64"/>
      <c r="Z58" s="64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64"/>
      <c r="W59" s="64"/>
      <c r="X59" s="64"/>
      <c r="Y59" s="64"/>
      <c r="Z59" s="64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64"/>
      <c r="W60" s="64"/>
      <c r="X60" s="64"/>
      <c r="Y60" s="64"/>
      <c r="Z60" s="64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64"/>
      <c r="W61" s="64"/>
      <c r="X61" s="64"/>
      <c r="Y61" s="64"/>
      <c r="Z61" s="64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64"/>
      <c r="W62" s="64"/>
      <c r="X62" s="64"/>
      <c r="Y62" s="64"/>
      <c r="Z62" s="64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</sheetData>
  <dataValidations>
    <dataValidation type="list" allowBlank="1" sqref="E2:E13">
      <formula1>"SMGF,PMGF,RGF,MMGF"</formula1>
    </dataValidation>
    <dataValidation type="custom" allowBlank="1" showDropDown="1" sqref="C2:D13 F2:G13 I2:J13 L2:M13">
      <formula1>AND(ISNUMBER(C2),(NOT(OR(NOT(ISERROR(DATEVALUE(C2))), AND(ISNUMBER(C2), LEFT(CELL("format", C2))="D")))))</formula1>
    </dataValidation>
    <dataValidation type="custom" allowBlank="1" showDropDown="1" sqref="H2:H13 K2:K1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